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_Data" state="visible" r:id="rId4"/>
    <sheet sheetId="2" name="Customers" state="visible" r:id="rId5"/>
    <sheet sheetId="3" name="Locations" state="visible" r:id="rId6"/>
    <sheet sheetId="4" name="Formula_Practicals" state="visible" r:id="rId7"/>
    <sheet sheetId="5" name="Summary_KPIs_Formulas" state="visible" r:id="rId8"/>
    <sheet sheetId="6" name="Pivot_Guide_&amp;_Scenarios" state="visible" r:id="rId9"/>
  </sheets>
  <calcPr calcId="171027"/>
</workbook>
</file>

<file path=xl/sharedStrings.xml><?xml version="1.0" encoding="utf-8"?>
<sst xmlns="http://schemas.openxmlformats.org/spreadsheetml/2006/main" count="5809" uniqueCount="2379">
  <si>
    <t>Booking_ID</t>
  </si>
  <si>
    <t>User_ID</t>
  </si>
  <si>
    <t>Location_ID</t>
  </si>
  <si>
    <t>Slot_ID</t>
  </si>
  <si>
    <t>Vehicle_Number</t>
  </si>
  <si>
    <t>Vehicle_Type</t>
  </si>
  <si>
    <t>Start_Time</t>
  </si>
  <si>
    <t>Expected_End_Time</t>
  </si>
  <si>
    <t>Duration_Hours</t>
  </si>
  <si>
    <t>Base_Amount</t>
  </si>
  <si>
    <t>Surge_Multiplier</t>
  </si>
  <si>
    <t>Surge_Amount</t>
  </si>
  <si>
    <t>Convenience_Fee</t>
  </si>
  <si>
    <t>Total_Amount</t>
  </si>
  <si>
    <t>Status</t>
  </si>
  <si>
    <t>Payment_Status</t>
  </si>
  <si>
    <t>BK-2026-0001</t>
  </si>
  <si>
    <t>USR-1008</t>
  </si>
  <si>
    <t>LOC-102</t>
  </si>
  <si>
    <t>SLOT-B-202</t>
  </si>
  <si>
    <t>DL02BE1001</t>
  </si>
  <si>
    <t>car</t>
  </si>
  <si>
    <t>2026-10-17T07:41:00.000Z</t>
  </si>
  <si>
    <t>2026-10-17T09:11:00.000Z</t>
  </si>
  <si>
    <t>COMPLETED</t>
  </si>
  <si>
    <t>paid</t>
  </si>
  <si>
    <t>BK-2026-0002</t>
  </si>
  <si>
    <t>USR-1015</t>
  </si>
  <si>
    <t>LOC-103</t>
  </si>
  <si>
    <t>SLOT-C-303</t>
  </si>
  <si>
    <t>DL03CF1002</t>
  </si>
  <si>
    <t>2026-10-04T12:52:00.000Z</t>
  </si>
  <si>
    <t>2026-10-04T14:52:00.000Z</t>
  </si>
  <si>
    <t>BK-2026-0003</t>
  </si>
  <si>
    <t>USR-1022</t>
  </si>
  <si>
    <t>LOC-104</t>
  </si>
  <si>
    <t>SLOT-D-104</t>
  </si>
  <si>
    <t>DL04DG1003</t>
  </si>
  <si>
    <t>bike</t>
  </si>
  <si>
    <t>2026-09-21T04:03:00.000Z</t>
  </si>
  <si>
    <t>2026-09-21T06:33:00.000Z</t>
  </si>
  <si>
    <t>BK-2026-0004</t>
  </si>
  <si>
    <t>USR-1029</t>
  </si>
  <si>
    <t>LOC-105</t>
  </si>
  <si>
    <t>SLOT-A-205</t>
  </si>
  <si>
    <t>DL05EH1004</t>
  </si>
  <si>
    <t>2026-09-08T12:14:00.000Z</t>
  </si>
  <si>
    <t>2026-09-08T15:14:00.000Z</t>
  </si>
  <si>
    <t>BK-2026-0005</t>
  </si>
  <si>
    <t>USR-1036</t>
  </si>
  <si>
    <t>LOC-101</t>
  </si>
  <si>
    <t>SLOT-B-306</t>
  </si>
  <si>
    <t>DL06FI1005</t>
  </si>
  <si>
    <t>ev</t>
  </si>
  <si>
    <t>2026-08-26T14:25:00.000Z</t>
  </si>
  <si>
    <t>2026-08-26T15:25:00.000Z</t>
  </si>
  <si>
    <t>CANCELLED</t>
  </si>
  <si>
    <t>refunded</t>
  </si>
  <si>
    <t>BK-2026-0006</t>
  </si>
  <si>
    <t>USR-1043</t>
  </si>
  <si>
    <t>SLOT-C-107</t>
  </si>
  <si>
    <t>DL07GJ1006</t>
  </si>
  <si>
    <t>truck</t>
  </si>
  <si>
    <t>2026-08-13T03:36:00.000Z</t>
  </si>
  <si>
    <t>2026-08-13T05:06:00.000Z</t>
  </si>
  <si>
    <t>ACTIVE</t>
  </si>
  <si>
    <t>BK-2026-0007</t>
  </si>
  <si>
    <t>USR-1050</t>
  </si>
  <si>
    <t>SLOT-D-208</t>
  </si>
  <si>
    <t>DL08HK1007</t>
  </si>
  <si>
    <t>2026-10-29T09:47:00.000Z</t>
  </si>
  <si>
    <t>2026-10-29T11:47:00.000Z</t>
  </si>
  <si>
    <t>NO_SHOW</t>
  </si>
  <si>
    <t>failed</t>
  </si>
  <si>
    <t>BK-2026-0008</t>
  </si>
  <si>
    <t>USR-1057</t>
  </si>
  <si>
    <t>SLOT-A-309</t>
  </si>
  <si>
    <t>DL09IL1008</t>
  </si>
  <si>
    <t>2026-10-16T11:58:00.000Z</t>
  </si>
  <si>
    <t>2026-10-16T14:28:00.000Z</t>
  </si>
  <si>
    <t>EXPIRED</t>
  </si>
  <si>
    <t>BK-2026-0009</t>
  </si>
  <si>
    <t>USR-1064</t>
  </si>
  <si>
    <t>SLOT-B-110</t>
  </si>
  <si>
    <t>DL10JM1009</t>
  </si>
  <si>
    <t>2026-10-03T04:09:00.000Z</t>
  </si>
  <si>
    <t>2026-10-03T07:09:00.000Z</t>
  </si>
  <si>
    <t>BK-2026-0010</t>
  </si>
  <si>
    <t>USR-1071</t>
  </si>
  <si>
    <t>SLOT-C-211</t>
  </si>
  <si>
    <t>DL11KN1010</t>
  </si>
  <si>
    <t>2026-09-20T11:20:00.000Z</t>
  </si>
  <si>
    <t>2026-09-20T12:20:00.000Z</t>
  </si>
  <si>
    <t>BK-2026-0011</t>
  </si>
  <si>
    <t>USR-1078</t>
  </si>
  <si>
    <t>SLOT-D-312</t>
  </si>
  <si>
    <t>DL12LO1011</t>
  </si>
  <si>
    <t>2026-09-07T15:31:00.000Z</t>
  </si>
  <si>
    <t>2026-09-07T17:01:00.000Z</t>
  </si>
  <si>
    <t>BK-2026-0012</t>
  </si>
  <si>
    <t>USR-1085</t>
  </si>
  <si>
    <t>SLOT-A-113</t>
  </si>
  <si>
    <t>DL01MP1012</t>
  </si>
  <si>
    <t>2026-08-25T11:42:00.000Z</t>
  </si>
  <si>
    <t>2026-08-25T13:42:00.000Z</t>
  </si>
  <si>
    <t>BK-2026-0013</t>
  </si>
  <si>
    <t>USR-1007</t>
  </si>
  <si>
    <t>SLOT-B-214</t>
  </si>
  <si>
    <t>DL02NQ1013</t>
  </si>
  <si>
    <t>2026-08-12T11:53:00.000Z</t>
  </si>
  <si>
    <t>2026-08-12T14:23:00.000Z</t>
  </si>
  <si>
    <t>BK-2026-0014</t>
  </si>
  <si>
    <t>USR-1014</t>
  </si>
  <si>
    <t>SLOT-C-315</t>
  </si>
  <si>
    <t>DL03OR1014</t>
  </si>
  <si>
    <t>2026-10-28T03:04:00.000Z</t>
  </si>
  <si>
    <t>2026-10-28T06:04:00.000Z</t>
  </si>
  <si>
    <t>BK-2026-0015</t>
  </si>
  <si>
    <t>USR-1021</t>
  </si>
  <si>
    <t>SLOT-D-116</t>
  </si>
  <si>
    <t>DL04PS1015</t>
  </si>
  <si>
    <t>2026-10-15T04:15:00.000Z</t>
  </si>
  <si>
    <t>2026-10-15T05:15:00.000Z</t>
  </si>
  <si>
    <t>BK-2026-0016</t>
  </si>
  <si>
    <t>USR-1028</t>
  </si>
  <si>
    <t>SLOT-A-217</t>
  </si>
  <si>
    <t>DL05QT1016</t>
  </si>
  <si>
    <t>2026-10-02T12:26:00.000Z</t>
  </si>
  <si>
    <t>2026-10-02T13:56:00.000Z</t>
  </si>
  <si>
    <t>BK-2026-0017</t>
  </si>
  <si>
    <t>USR-1035</t>
  </si>
  <si>
    <t>SLOT-B-318</t>
  </si>
  <si>
    <t>DL06RU1017</t>
  </si>
  <si>
    <t>2026-09-19T03:37:00.000Z</t>
  </si>
  <si>
    <t>2026-09-19T05:37:00.000Z</t>
  </si>
  <si>
    <t>BK-2026-0018</t>
  </si>
  <si>
    <t>USR-1042</t>
  </si>
  <si>
    <t>SLOT-C-119</t>
  </si>
  <si>
    <t>DL07SV1018</t>
  </si>
  <si>
    <t>2026-09-06T03:48:00.000Z</t>
  </si>
  <si>
    <t>2026-09-06T06:18:00.000Z</t>
  </si>
  <si>
    <t>BK-2026-0019</t>
  </si>
  <si>
    <t>USR-1049</t>
  </si>
  <si>
    <t>SLOT-D-220</t>
  </si>
  <si>
    <t>DL08TW1019</t>
  </si>
  <si>
    <t>2026-08-24T13:59:00.000Z</t>
  </si>
  <si>
    <t>2026-08-24T16:59:00.000Z</t>
  </si>
  <si>
    <t>BK-2026-0020</t>
  </si>
  <si>
    <t>USR-1056</t>
  </si>
  <si>
    <t>SLOT-A-301</t>
  </si>
  <si>
    <t>DL09UX1020</t>
  </si>
  <si>
    <t>2026-08-11T12:10:00.000Z</t>
  </si>
  <si>
    <t>2026-08-11T13:10:00.000Z</t>
  </si>
  <si>
    <t>BK-2026-0021</t>
  </si>
  <si>
    <t>USR-1063</t>
  </si>
  <si>
    <t>SLOT-B-102</t>
  </si>
  <si>
    <t>DL10VY1021</t>
  </si>
  <si>
    <t>2026-10-27T04:21:00.000Z</t>
  </si>
  <si>
    <t>2026-10-27T05:51:00.000Z</t>
  </si>
  <si>
    <t>BK-2026-0022</t>
  </si>
  <si>
    <t>USR-1070</t>
  </si>
  <si>
    <t>SLOT-C-203</t>
  </si>
  <si>
    <t>DL11WZ1022</t>
  </si>
  <si>
    <t>2026-10-14T14:32:00.000Z</t>
  </si>
  <si>
    <t>2026-10-14T16:32:00.000Z</t>
  </si>
  <si>
    <t>BK-2026-0023</t>
  </si>
  <si>
    <t>USR-1077</t>
  </si>
  <si>
    <t>SLOT-D-304</t>
  </si>
  <si>
    <t>DL12XA1023</t>
  </si>
  <si>
    <t>2026-10-01T05:43:00.000Z</t>
  </si>
  <si>
    <t>2026-10-01T08:13:00.000Z</t>
  </si>
  <si>
    <t>BK-2026-0024</t>
  </si>
  <si>
    <t>USR-1084</t>
  </si>
  <si>
    <t>SLOT-A-105</t>
  </si>
  <si>
    <t>DL01YB1024</t>
  </si>
  <si>
    <t>2026-09-18T11:54:00.000Z</t>
  </si>
  <si>
    <t>2026-09-18T14:54:00.000Z</t>
  </si>
  <si>
    <t>BK-2026-0025</t>
  </si>
  <si>
    <t>USR-1006</t>
  </si>
  <si>
    <t>SLOT-B-206</t>
  </si>
  <si>
    <t>DL02ZC1025</t>
  </si>
  <si>
    <t>2026-09-05T16:05:00.000Z</t>
  </si>
  <si>
    <t>2026-09-05T17:05:00.000Z</t>
  </si>
  <si>
    <t>BK-2026-0026</t>
  </si>
  <si>
    <t>USR-1013</t>
  </si>
  <si>
    <t>SLOT-C-307</t>
  </si>
  <si>
    <t>DL03AD1026</t>
  </si>
  <si>
    <t>2026-08-23T07:16:00.000Z</t>
  </si>
  <si>
    <t>2026-08-23T08:46:00.000Z</t>
  </si>
  <si>
    <t>BK-2026-0027</t>
  </si>
  <si>
    <t>USR-1020</t>
  </si>
  <si>
    <t>SLOT-D-108</t>
  </si>
  <si>
    <t>DL04BE1027</t>
  </si>
  <si>
    <t>2026-08-10T04:27:00.000Z</t>
  </si>
  <si>
    <t>2026-08-10T06:27:00.000Z</t>
  </si>
  <si>
    <t>BK-2026-0028</t>
  </si>
  <si>
    <t>USR-1027</t>
  </si>
  <si>
    <t>SLOT-A-209</t>
  </si>
  <si>
    <t>DL05CF1028</t>
  </si>
  <si>
    <t>2026-10-26T11:38:00.000Z</t>
  </si>
  <si>
    <t>2026-10-26T14:08:00.000Z</t>
  </si>
  <si>
    <t>BK-2026-0029</t>
  </si>
  <si>
    <t>USR-1034</t>
  </si>
  <si>
    <t>SLOT-B-310</t>
  </si>
  <si>
    <t>DL06DG1029</t>
  </si>
  <si>
    <t>2026-10-13T07:49:00.000Z</t>
  </si>
  <si>
    <t>2026-10-13T10:49:00.000Z</t>
  </si>
  <si>
    <t>BK-2026-0030</t>
  </si>
  <si>
    <t>USR-1041</t>
  </si>
  <si>
    <t>SLOT-C-111</t>
  </si>
  <si>
    <t>DL07EH1030</t>
  </si>
  <si>
    <t>2026-09-30T04:00:00.000Z</t>
  </si>
  <si>
    <t>2026-09-30T05:00:00.000Z</t>
  </si>
  <si>
    <t>BK-2026-0031</t>
  </si>
  <si>
    <t>USR-1048</t>
  </si>
  <si>
    <t>SLOT-D-212</t>
  </si>
  <si>
    <t>DL08FI1031</t>
  </si>
  <si>
    <t>2026-09-17T04:11:00.000Z</t>
  </si>
  <si>
    <t>2026-09-17T05:41:00.000Z</t>
  </si>
  <si>
    <t>BK-2026-0032</t>
  </si>
  <si>
    <t>USR-1055</t>
  </si>
  <si>
    <t>SLOT-A-313</t>
  </si>
  <si>
    <t>DL09GJ1032</t>
  </si>
  <si>
    <t>2026-09-04T12:22:00.000Z</t>
  </si>
  <si>
    <t>2026-09-04T14:22:00.000Z</t>
  </si>
  <si>
    <t>BK-2026-0033</t>
  </si>
  <si>
    <t>USR-1062</t>
  </si>
  <si>
    <t>SLOT-B-114</t>
  </si>
  <si>
    <t>DL10HK1033</t>
  </si>
  <si>
    <t>2026-08-22T03:33:00.000Z</t>
  </si>
  <si>
    <t>2026-08-22T06:03:00.000Z</t>
  </si>
  <si>
    <t>BK-2026-0034</t>
  </si>
  <si>
    <t>USR-1069</t>
  </si>
  <si>
    <t>SLOT-C-215</t>
  </si>
  <si>
    <t>DL11IL1034</t>
  </si>
  <si>
    <t>2026-08-09T04:44:00.000Z</t>
  </si>
  <si>
    <t>2026-08-09T07:44:00.000Z</t>
  </si>
  <si>
    <t>BK-2026-0035</t>
  </si>
  <si>
    <t>USR-1076</t>
  </si>
  <si>
    <t>SLOT-D-316</t>
  </si>
  <si>
    <t>DL12JM1035</t>
  </si>
  <si>
    <t>2026-10-25T09:55:00.000Z</t>
  </si>
  <si>
    <t>2026-10-25T10:55:00.000Z</t>
  </si>
  <si>
    <t>BK-2026-0036</t>
  </si>
  <si>
    <t>USR-1083</t>
  </si>
  <si>
    <t>SLOT-A-117</t>
  </si>
  <si>
    <t>DL01KN1036</t>
  </si>
  <si>
    <t>2026-10-12T12:06:00.000Z</t>
  </si>
  <si>
    <t>2026-10-12T13:36:00.000Z</t>
  </si>
  <si>
    <t>BK-2026-0037</t>
  </si>
  <si>
    <t>USR-1005</t>
  </si>
  <si>
    <t>SLOT-B-218</t>
  </si>
  <si>
    <t>DL02LO1037</t>
  </si>
  <si>
    <t>2026-09-29T06:17:00.000Z</t>
  </si>
  <si>
    <t>2026-09-29T08:17:00.000Z</t>
  </si>
  <si>
    <t>BK-2026-0038</t>
  </si>
  <si>
    <t>USR-1012</t>
  </si>
  <si>
    <t>SLOT-C-319</t>
  </si>
  <si>
    <t>DL03MP1038</t>
  </si>
  <si>
    <t>2026-09-16T11:28:00.000Z</t>
  </si>
  <si>
    <t>2026-09-16T13:58:00.000Z</t>
  </si>
  <si>
    <t>BK-2026-0039</t>
  </si>
  <si>
    <t>USR-1019</t>
  </si>
  <si>
    <t>SLOT-D-120</t>
  </si>
  <si>
    <t>DL04NQ1039</t>
  </si>
  <si>
    <t>2026-09-03T03:39:00.000Z</t>
  </si>
  <si>
    <t>2026-09-03T06:39:00.000Z</t>
  </si>
  <si>
    <t>BK-2026-0040</t>
  </si>
  <si>
    <t>USR-1026</t>
  </si>
  <si>
    <t>SLOT-A-201</t>
  </si>
  <si>
    <t>DL05OR1040</t>
  </si>
  <si>
    <t>2026-08-21T11:50:00.000Z</t>
  </si>
  <si>
    <t>2026-08-21T12:50:00.000Z</t>
  </si>
  <si>
    <t>BK-2026-0041</t>
  </si>
  <si>
    <t>USR-1033</t>
  </si>
  <si>
    <t>SLOT-B-302</t>
  </si>
  <si>
    <t>DL06PS1041</t>
  </si>
  <si>
    <t>2026-08-08T12:01:00.000Z</t>
  </si>
  <si>
    <t>2026-08-08T13:31:00.000Z</t>
  </si>
  <si>
    <t>BK-2026-0042</t>
  </si>
  <si>
    <t>USR-1040</t>
  </si>
  <si>
    <t>SLOT-C-103</t>
  </si>
  <si>
    <t>DL07QT1042</t>
  </si>
  <si>
    <t>2026-10-24T04:12:00.000Z</t>
  </si>
  <si>
    <t>2026-10-25T16:12:00.000Z</t>
  </si>
  <si>
    <t>BK-2026-0043</t>
  </si>
  <si>
    <t>USR-1047</t>
  </si>
  <si>
    <t>SLOT-D-204</t>
  </si>
  <si>
    <t>DL08RU1043</t>
  </si>
  <si>
    <t>2026-10-11T08:23:00.000Z</t>
  </si>
  <si>
    <t>2026-10-11T10:53:00.000Z</t>
  </si>
  <si>
    <t>BK-2026-0044</t>
  </si>
  <si>
    <t>USR-1054</t>
  </si>
  <si>
    <t>SLOT-A-305</t>
  </si>
  <si>
    <t>DL09SV1044</t>
  </si>
  <si>
    <t>2026-09-28T11:34:00.000Z</t>
  </si>
  <si>
    <t>2026-09-28T14:34:00.000Z</t>
  </si>
  <si>
    <t>BK-2026-0045</t>
  </si>
  <si>
    <t>USR-1061</t>
  </si>
  <si>
    <t>SLOT-B-106</t>
  </si>
  <si>
    <t>DL10TW1045</t>
  </si>
  <si>
    <t>2026-09-15T03:45:00.000Z</t>
  </si>
  <si>
    <t>2026-09-15T04:45:00.000Z</t>
  </si>
  <si>
    <t>BK-2026-0046</t>
  </si>
  <si>
    <t>USR-1068</t>
  </si>
  <si>
    <t>SLOT-C-207</t>
  </si>
  <si>
    <t>DL11UX1046</t>
  </si>
  <si>
    <t>2026-09-02T08:56:00.000Z</t>
  </si>
  <si>
    <t>2026-09-02T10:26:00.000Z</t>
  </si>
  <si>
    <t>BK-2026-0047</t>
  </si>
  <si>
    <t>USR-1075</t>
  </si>
  <si>
    <t>SLOT-D-308</t>
  </si>
  <si>
    <t>DL12VY1047</t>
  </si>
  <si>
    <t>2026-08-20T14:07:00.000Z</t>
  </si>
  <si>
    <t>2026-08-20T16:07:00.000Z</t>
  </si>
  <si>
    <t>BK-2026-0048</t>
  </si>
  <si>
    <t>USR-1082</t>
  </si>
  <si>
    <t>SLOT-A-109</t>
  </si>
  <si>
    <t>DL01WZ1048</t>
  </si>
  <si>
    <t>2026-08-07T12:18:00.000Z</t>
  </si>
  <si>
    <t>2026-08-07T14:48:00.000Z</t>
  </si>
  <si>
    <t>BK-2026-0049</t>
  </si>
  <si>
    <t>USR-1004</t>
  </si>
  <si>
    <t>SLOT-B-210</t>
  </si>
  <si>
    <t>DL02XA1049</t>
  </si>
  <si>
    <t>2026-10-23T10:29:00.000Z</t>
  </si>
  <si>
    <t>2026-10-23T13:29:00.000Z</t>
  </si>
  <si>
    <t>BK-2026-0050</t>
  </si>
  <si>
    <t>USR-1011</t>
  </si>
  <si>
    <t>SLOT-C-311</t>
  </si>
  <si>
    <t>DL03YB1050</t>
  </si>
  <si>
    <t>2026-10-10T14:40:00.000Z</t>
  </si>
  <si>
    <t>2026-10-10T15:40:00.000Z</t>
  </si>
  <si>
    <t>BK-2026-0051</t>
  </si>
  <si>
    <t>USR-1018</t>
  </si>
  <si>
    <t>SLOT-D-112</t>
  </si>
  <si>
    <t>DL04ZC1051</t>
  </si>
  <si>
    <t>2026-09-27T03:51:00.000Z</t>
  </si>
  <si>
    <t>2026-09-27T05:21:00.000Z</t>
  </si>
  <si>
    <t>BK-2026-0052</t>
  </si>
  <si>
    <t>USR-1025</t>
  </si>
  <si>
    <t>SLOT-A-213</t>
  </si>
  <si>
    <t>DL05AD1052</t>
  </si>
  <si>
    <t>2026-09-14T12:02:00.000Z</t>
  </si>
  <si>
    <t>2026-09-14T14:02:00.000Z</t>
  </si>
  <si>
    <t>BK-2026-0053</t>
  </si>
  <si>
    <t>USR-1032</t>
  </si>
  <si>
    <t>SLOT-B-314</t>
  </si>
  <si>
    <t>DL06BE1053</t>
  </si>
  <si>
    <t>2026-09-01T16:13:00.000Z</t>
  </si>
  <si>
    <t>2026-09-01T18:43:00.000Z</t>
  </si>
  <si>
    <t>BK-2026-0054</t>
  </si>
  <si>
    <t>USR-1039</t>
  </si>
  <si>
    <t>SLOT-C-115</t>
  </si>
  <si>
    <t>DL07CF1054</t>
  </si>
  <si>
    <t>2026-08-19T04:24:00.000Z</t>
  </si>
  <si>
    <t>2026-08-19T07:24:00.000Z</t>
  </si>
  <si>
    <t>BK-2026-0055</t>
  </si>
  <si>
    <t>USR-1046</t>
  </si>
  <si>
    <t>SLOT-D-216</t>
  </si>
  <si>
    <t>DL08DG1055</t>
  </si>
  <si>
    <t>2026-08-06T11:35:00.000Z</t>
  </si>
  <si>
    <t>2026-08-06T12:35:00.000Z</t>
  </si>
  <si>
    <t>BK-2026-0056</t>
  </si>
  <si>
    <t>USR-1053</t>
  </si>
  <si>
    <t>SLOT-A-317</t>
  </si>
  <si>
    <t>DL09EH1056</t>
  </si>
  <si>
    <t>2026-10-22T11:46:00.000Z</t>
  </si>
  <si>
    <t>2026-10-22T13:16:00.000Z</t>
  </si>
  <si>
    <t>BK-2026-0057</t>
  </si>
  <si>
    <t>USR-1060</t>
  </si>
  <si>
    <t>SLOT-B-118</t>
  </si>
  <si>
    <t>DL10FI1057</t>
  </si>
  <si>
    <t>2026-10-09T03:57:00.000Z</t>
  </si>
  <si>
    <t>2026-10-09T05:57:00.000Z</t>
  </si>
  <si>
    <t>BK-2026-0058</t>
  </si>
  <si>
    <t>USR-1067</t>
  </si>
  <si>
    <t>SLOT-C-219</t>
  </si>
  <si>
    <t>DL11GJ1058</t>
  </si>
  <si>
    <t>2026-09-26T13:08:00.000Z</t>
  </si>
  <si>
    <t>2026-09-26T15:38:00.000Z</t>
  </si>
  <si>
    <t>BK-2026-0059</t>
  </si>
  <si>
    <t>USR-1074</t>
  </si>
  <si>
    <t>SLOT-D-320</t>
  </si>
  <si>
    <t>DL12HK1059</t>
  </si>
  <si>
    <t>2026-09-13T04:19:00.000Z</t>
  </si>
  <si>
    <t>2026-09-13T07:19:00.000Z</t>
  </si>
  <si>
    <t>BK-2026-0060</t>
  </si>
  <si>
    <t>USR-1081</t>
  </si>
  <si>
    <t>SLOT-A-101</t>
  </si>
  <si>
    <t>DL01IL1060</t>
  </si>
  <si>
    <t>2026-08-31T11:30:00.000Z</t>
  </si>
  <si>
    <t>2026-08-31T12:30:00.000Z</t>
  </si>
  <si>
    <t>BK-2026-0061</t>
  </si>
  <si>
    <t>USR-1003</t>
  </si>
  <si>
    <t>DL02JM1061</t>
  </si>
  <si>
    <t>2026-08-18T13:41:00.000Z</t>
  </si>
  <si>
    <t>2026-08-18T15:11:00.000Z</t>
  </si>
  <si>
    <t>BK-2026-0062</t>
  </si>
  <si>
    <t>USR-1010</t>
  </si>
  <si>
    <t>DL03KN1062</t>
  </si>
  <si>
    <t>2026-08-05T04:52:00.000Z</t>
  </si>
  <si>
    <t>2026-08-05T06:52:00.000Z</t>
  </si>
  <si>
    <t>BK-2026-0063</t>
  </si>
  <si>
    <t>USR-1017</t>
  </si>
  <si>
    <t>DL04LO1063</t>
  </si>
  <si>
    <t>2026-10-21T04:03:00.000Z</t>
  </si>
  <si>
    <t>2026-10-21T06:33:00.000Z</t>
  </si>
  <si>
    <t>BK-2026-0064</t>
  </si>
  <si>
    <t>USR-1024</t>
  </si>
  <si>
    <t>DL05MP1064</t>
  </si>
  <si>
    <t>2026-10-08T12:14:00.000Z</t>
  </si>
  <si>
    <t>2026-10-08T15:14:00.000Z</t>
  </si>
  <si>
    <t>BK-2026-0065</t>
  </si>
  <si>
    <t>USR-1031</t>
  </si>
  <si>
    <t>DL06NQ1065</t>
  </si>
  <si>
    <t>2026-09-25T06:25:00.000Z</t>
  </si>
  <si>
    <t>2026-09-25T07:25:00.000Z</t>
  </si>
  <si>
    <t>BK-2026-0066</t>
  </si>
  <si>
    <t>USR-1038</t>
  </si>
  <si>
    <t>DL07OR1066</t>
  </si>
  <si>
    <t>2026-09-12T03:36:00.000Z</t>
  </si>
  <si>
    <t>2026-09-12T05:06:00.000Z</t>
  </si>
  <si>
    <t>BK-2026-0067</t>
  </si>
  <si>
    <t>USR-1045</t>
  </si>
  <si>
    <t>DL08PS1067</t>
  </si>
  <si>
    <t>2026-08-30T15:47:00.000Z</t>
  </si>
  <si>
    <t>2026-08-30T17:47:00.000Z</t>
  </si>
  <si>
    <t>BK-2026-0068</t>
  </si>
  <si>
    <t>USR-1052</t>
  </si>
  <si>
    <t>DL09QT1068</t>
  </si>
  <si>
    <t>2026-08-17T11:58:00.000Z</t>
  </si>
  <si>
    <t>2026-08-17T14:28:00.000Z</t>
  </si>
  <si>
    <t>BK-2026-0069</t>
  </si>
  <si>
    <t>USR-1059</t>
  </si>
  <si>
    <t>DL10RU1069</t>
  </si>
  <si>
    <t>2026-08-04T04:09:00.000Z</t>
  </si>
  <si>
    <t>2026-08-04T07:09:00.000Z</t>
  </si>
  <si>
    <t>BK-2026-0070</t>
  </si>
  <si>
    <t>USR-1066</t>
  </si>
  <si>
    <t>DL11SV1070</t>
  </si>
  <si>
    <t>2026-10-20T03:20:00.000Z</t>
  </si>
  <si>
    <t>2026-10-20T04:20:00.000Z</t>
  </si>
  <si>
    <t>BK-2026-0071</t>
  </si>
  <si>
    <t>USR-1073</t>
  </si>
  <si>
    <t>DL12TW1071</t>
  </si>
  <si>
    <t>2026-10-07T07:31:00.000Z</t>
  </si>
  <si>
    <t>2026-10-07T09:01:00.000Z</t>
  </si>
  <si>
    <t>BK-2026-0072</t>
  </si>
  <si>
    <t>USR-1080</t>
  </si>
  <si>
    <t>DL01UX1072</t>
  </si>
  <si>
    <t>2026-09-24T11:42:00.000Z</t>
  </si>
  <si>
    <t>2026-09-24T13:42:00.000Z</t>
  </si>
  <si>
    <t>BK-2026-0073</t>
  </si>
  <si>
    <t>USR-1002</t>
  </si>
  <si>
    <t>DL02VY1073</t>
  </si>
  <si>
    <t>2026-09-11T03:53:00.000Z</t>
  </si>
  <si>
    <t>2026-09-11T06:23:00.000Z</t>
  </si>
  <si>
    <t>BK-2026-0074</t>
  </si>
  <si>
    <t>USR-1009</t>
  </si>
  <si>
    <t>DL03WZ1074</t>
  </si>
  <si>
    <t>2026-08-29T09:04:00.000Z</t>
  </si>
  <si>
    <t>2026-08-29T12:04:00.000Z</t>
  </si>
  <si>
    <t>BK-2026-0075</t>
  </si>
  <si>
    <t>USR-1016</t>
  </si>
  <si>
    <t>DL04XA1075</t>
  </si>
  <si>
    <t>2026-08-16T04:15:00.000Z</t>
  </si>
  <si>
    <t>2026-08-16T05:15:00.000Z</t>
  </si>
  <si>
    <t>BK-2026-0076</t>
  </si>
  <si>
    <t>USR-1023</t>
  </si>
  <si>
    <t>DL05YB1076</t>
  </si>
  <si>
    <t>2026-08-03T12:26:00.000Z</t>
  </si>
  <si>
    <t>2026-08-03T13:56:00.000Z</t>
  </si>
  <si>
    <t>BK-2026-0077</t>
  </si>
  <si>
    <t>USR-1030</t>
  </si>
  <si>
    <t>DL06ZC1077</t>
  </si>
  <si>
    <t>2026-10-19T09:37:00.000Z</t>
  </si>
  <si>
    <t>2026-10-19T11:37:00.000Z</t>
  </si>
  <si>
    <t>BK-2026-0078</t>
  </si>
  <si>
    <t>USR-1037</t>
  </si>
  <si>
    <t>DL07AD1078</t>
  </si>
  <si>
    <t>2026-10-06T03:48:00.000Z</t>
  </si>
  <si>
    <t>2026-10-06T06:18:00.000Z</t>
  </si>
  <si>
    <t>BK-2026-0079</t>
  </si>
  <si>
    <t>USR-1044</t>
  </si>
  <si>
    <t>DL08BE1079</t>
  </si>
  <si>
    <t>2026-09-23T05:59:00.000Z</t>
  </si>
  <si>
    <t>2026-09-23T08:59:00.000Z</t>
  </si>
  <si>
    <t>BK-2026-0080</t>
  </si>
  <si>
    <t>USR-1051</t>
  </si>
  <si>
    <t>DL09CF1080</t>
  </si>
  <si>
    <t>2026-09-10T12:10:00.000Z</t>
  </si>
  <si>
    <t>2026-09-10T13:10:00.000Z</t>
  </si>
  <si>
    <t>BK-2026-0081</t>
  </si>
  <si>
    <t>USR-1058</t>
  </si>
  <si>
    <t>DL10DG1081</t>
  </si>
  <si>
    <t>2026-08-28T04:21:00.000Z</t>
  </si>
  <si>
    <t>2026-08-28T05:51:00.000Z</t>
  </si>
  <si>
    <t>BK-2026-0082</t>
  </si>
  <si>
    <t>USR-1065</t>
  </si>
  <si>
    <t>DL11EH1082</t>
  </si>
  <si>
    <t>2026-08-15T06:32:00.000Z</t>
  </si>
  <si>
    <t>2026-08-15T08:32:00.000Z</t>
  </si>
  <si>
    <t>BK-2026-0083</t>
  </si>
  <si>
    <t>USR-1072</t>
  </si>
  <si>
    <t>DL12FI1083</t>
  </si>
  <si>
    <t>2026-08-02T11:43:00.000Z</t>
  </si>
  <si>
    <t>2026-08-02T14:13:00.000Z</t>
  </si>
  <si>
    <t>BK-2026-0084</t>
  </si>
  <si>
    <t>USR-1079</t>
  </si>
  <si>
    <t>DL01GJ1084</t>
  </si>
  <si>
    <t>2026-10-18T11:54:00.000Z</t>
  </si>
  <si>
    <t>2026-10-18T14:54:00.000Z</t>
  </si>
  <si>
    <t>BK-2026-0085</t>
  </si>
  <si>
    <t>USR-1001</t>
  </si>
  <si>
    <t>DL02HK1085</t>
  </si>
  <si>
    <t>2026-10-05T08:05:00.000Z</t>
  </si>
  <si>
    <t>2026-10-05T09:05:00.000Z</t>
  </si>
  <si>
    <t>BK-2026-0086</t>
  </si>
  <si>
    <t>DL03IL1086</t>
  </si>
  <si>
    <t>2026-09-22T13:16:00.000Z</t>
  </si>
  <si>
    <t>2026-09-22T14:46:00.000Z</t>
  </si>
  <si>
    <t>BK-2026-0087</t>
  </si>
  <si>
    <t>DL04JM1087</t>
  </si>
  <si>
    <t>2026-09-09T04:27:00.000Z</t>
  </si>
  <si>
    <t>2026-09-09T06:27:00.000Z</t>
  </si>
  <si>
    <t>BK-2026-0088</t>
  </si>
  <si>
    <t>DL05KN1088</t>
  </si>
  <si>
    <t>2026-08-27T11:38:00.000Z</t>
  </si>
  <si>
    <t>2026-08-27T14:08:00.000Z</t>
  </si>
  <si>
    <t>BK-2026-0089</t>
  </si>
  <si>
    <t>DL06LO1089</t>
  </si>
  <si>
    <t>2026-08-14T13:49:00.000Z</t>
  </si>
  <si>
    <t>2026-08-14T16:49:00.000Z</t>
  </si>
  <si>
    <t>BK-2026-0090</t>
  </si>
  <si>
    <t>DL07MP1090</t>
  </si>
  <si>
    <t>2026-10-30T04:00:00.000Z</t>
  </si>
  <si>
    <t>2026-10-30T05:00:00.000Z</t>
  </si>
  <si>
    <t>BK-2026-0091</t>
  </si>
  <si>
    <t>DL08NQ1091</t>
  </si>
  <si>
    <t>2026-10-17T10:11:00.000Z</t>
  </si>
  <si>
    <t>2026-10-17T11:41:00.000Z</t>
  </si>
  <si>
    <t>BK-2026-0092</t>
  </si>
  <si>
    <t>DL09OR1092</t>
  </si>
  <si>
    <t>2026-10-04T12:22:00.000Z</t>
  </si>
  <si>
    <t>2026-10-04T14:22:00.000Z</t>
  </si>
  <si>
    <t>BK-2026-0093</t>
  </si>
  <si>
    <t>DL10PS1093</t>
  </si>
  <si>
    <t>2026-09-21T03:33:00.000Z</t>
  </si>
  <si>
    <t>2026-09-21T06:03:00.000Z</t>
  </si>
  <si>
    <t>BK-2026-0094</t>
  </si>
  <si>
    <t>DL11QT1094</t>
  </si>
  <si>
    <t>2026-09-08T10:44:00.000Z</t>
  </si>
  <si>
    <t>2026-09-08T13:44:00.000Z</t>
  </si>
  <si>
    <t>BK-2026-0095</t>
  </si>
  <si>
    <t>DL12RU1095</t>
  </si>
  <si>
    <t>2026-08-26T15:55:00.000Z</t>
  </si>
  <si>
    <t>2026-08-26T16:55:00.000Z</t>
  </si>
  <si>
    <t>BK-2026-0096</t>
  </si>
  <si>
    <t>DL01SV1096</t>
  </si>
  <si>
    <t>2026-08-13T12:06:00.000Z</t>
  </si>
  <si>
    <t>2026-08-13T13:36:00.000Z</t>
  </si>
  <si>
    <t>BK-2026-0097</t>
  </si>
  <si>
    <t>DL02TW1097</t>
  </si>
  <si>
    <t>2026-10-29T12:17:00.000Z</t>
  </si>
  <si>
    <t>2026-10-29T14:17:00.000Z</t>
  </si>
  <si>
    <t>BK-2026-0098</t>
  </si>
  <si>
    <t>DL03UX1098</t>
  </si>
  <si>
    <t>2026-10-16T03:28:00.000Z</t>
  </si>
  <si>
    <t>2026-10-16T05:58:00.000Z</t>
  </si>
  <si>
    <t>BK-2026-0099</t>
  </si>
  <si>
    <t>DL04VY1099</t>
  </si>
  <si>
    <t>2026-10-03T03:39:00.000Z</t>
  </si>
  <si>
    <t>2026-10-03T06:39:00.000Z</t>
  </si>
  <si>
    <t>BK-2026-0100</t>
  </si>
  <si>
    <t>DL05WZ1100</t>
  </si>
  <si>
    <t>2026-09-20T11:50:00.000Z</t>
  </si>
  <si>
    <t>2026-09-20T12:50:00.000Z</t>
  </si>
  <si>
    <t>BK-2026-0101</t>
  </si>
  <si>
    <t>DL06XA1101</t>
  </si>
  <si>
    <t>2026-09-07T04:01:00.000Z</t>
  </si>
  <si>
    <t>2026-09-07T05:31:00.000Z</t>
  </si>
  <si>
    <t>BK-2026-0102</t>
  </si>
  <si>
    <t>DL07YB1102</t>
  </si>
  <si>
    <t>2026-08-25T04:12:00.000Z</t>
  </si>
  <si>
    <t>2026-08-25T06:12:00.000Z</t>
  </si>
  <si>
    <t>BK-2026-0103</t>
  </si>
  <si>
    <t>DL08ZC1103</t>
  </si>
  <si>
    <t>2026-08-12T16:53:00.000Z</t>
  </si>
  <si>
    <t>BK-2026-0104</t>
  </si>
  <si>
    <t>DL09AD1104</t>
  </si>
  <si>
    <t>2026-10-28T11:34:00.000Z</t>
  </si>
  <si>
    <t>2026-10-28T14:34:00.000Z</t>
  </si>
  <si>
    <t>BK-2026-0105</t>
  </si>
  <si>
    <t>DL10BE1105</t>
  </si>
  <si>
    <t>2026-10-15T03:45:00.000Z</t>
  </si>
  <si>
    <t>2026-10-17T03:45:00.000Z</t>
  </si>
  <si>
    <t>BK-2026-0106</t>
  </si>
  <si>
    <t>DL11CF1106</t>
  </si>
  <si>
    <t>2026-10-02T14:56:00.000Z</t>
  </si>
  <si>
    <t>2026-10-02T16:26:00.000Z</t>
  </si>
  <si>
    <t>BK-2026-0107</t>
  </si>
  <si>
    <t>DL12DG1107</t>
  </si>
  <si>
    <t>2026-09-19T06:07:00.000Z</t>
  </si>
  <si>
    <t>2026-09-19T08:07:00.000Z</t>
  </si>
  <si>
    <t>BK-2026-0108</t>
  </si>
  <si>
    <t>DL01EH1108</t>
  </si>
  <si>
    <t>2026-09-06T12:18:00.000Z</t>
  </si>
  <si>
    <t>2026-09-06T14:48:00.000Z</t>
  </si>
  <si>
    <t>BK-2026-0109</t>
  </si>
  <si>
    <t>DL02FI1109</t>
  </si>
  <si>
    <t>2026-08-24T16:29:00.000Z</t>
  </si>
  <si>
    <t>2026-08-24T19:29:00.000Z</t>
  </si>
  <si>
    <t>BK-2026-0110</t>
  </si>
  <si>
    <t>DL03GJ1110</t>
  </si>
  <si>
    <t>2026-08-11T06:40:00.000Z</t>
  </si>
  <si>
    <t>2026-08-11T07:40:00.000Z</t>
  </si>
  <si>
    <t>BK-2026-0111</t>
  </si>
  <si>
    <t>DL04HK1111</t>
  </si>
  <si>
    <t>2026-10-27T03:51:00.000Z</t>
  </si>
  <si>
    <t>2026-10-27T05:21:00.000Z</t>
  </si>
  <si>
    <t>BK-2026-0112</t>
  </si>
  <si>
    <t>DL05IL1112</t>
  </si>
  <si>
    <t>2026-10-14T12:02:00.000Z</t>
  </si>
  <si>
    <t>2026-10-14T14:02:00.000Z</t>
  </si>
  <si>
    <t>BK-2026-0113</t>
  </si>
  <si>
    <t>DL06JM1113</t>
  </si>
  <si>
    <t>2026-10-01T10:43:00.000Z</t>
  </si>
  <si>
    <t>BK-2026-0114</t>
  </si>
  <si>
    <t>DL07KN1114</t>
  </si>
  <si>
    <t>2026-09-18T04:24:00.000Z</t>
  </si>
  <si>
    <t>2026-09-18T07:24:00.000Z</t>
  </si>
  <si>
    <t>BK-2026-0115</t>
  </si>
  <si>
    <t>DL08LO1115</t>
  </si>
  <si>
    <t>2026-09-05T03:35:00.000Z</t>
  </si>
  <si>
    <t>2026-09-05T04:35:00.000Z</t>
  </si>
  <si>
    <t>BK-2026-0116</t>
  </si>
  <si>
    <t>DL09MP1116</t>
  </si>
  <si>
    <t>2026-08-23T11:46:00.000Z</t>
  </si>
  <si>
    <t>2026-08-23T13:16:00.000Z</t>
  </si>
  <si>
    <t>BK-2026-0117</t>
  </si>
  <si>
    <t>DL10NQ1117</t>
  </si>
  <si>
    <t>2026-08-10T03:57:00.000Z</t>
  </si>
  <si>
    <t>2026-08-10T05:57:00.000Z</t>
  </si>
  <si>
    <t>BK-2026-0118</t>
  </si>
  <si>
    <t>DL11OR1118</t>
  </si>
  <si>
    <t>2026-10-26T05:08:00.000Z</t>
  </si>
  <si>
    <t>2026-10-26T07:38:00.000Z</t>
  </si>
  <si>
    <t>BK-2026-0119</t>
  </si>
  <si>
    <t>DL12PS1119</t>
  </si>
  <si>
    <t>2026-10-13T10:19:00.000Z</t>
  </si>
  <si>
    <t>2026-10-13T13:19:00.000Z</t>
  </si>
  <si>
    <t>BK-2026-0120</t>
  </si>
  <si>
    <t>DL01QT1120</t>
  </si>
  <si>
    <t>2026-09-30T11:30:00.000Z</t>
  </si>
  <si>
    <t>2026-09-30T12:30:00.000Z</t>
  </si>
  <si>
    <t>BK-2026-0121</t>
  </si>
  <si>
    <t>DL02RU1121</t>
  </si>
  <si>
    <t>2026-09-17T07:11:00.000Z</t>
  </si>
  <si>
    <t>BK-2026-0122</t>
  </si>
  <si>
    <t>DL03SV1122</t>
  </si>
  <si>
    <t>2026-09-04T10:52:00.000Z</t>
  </si>
  <si>
    <t>2026-09-04T12:52:00.000Z</t>
  </si>
  <si>
    <t>BK-2026-0123</t>
  </si>
  <si>
    <t>DL04TW1123</t>
  </si>
  <si>
    <t>2026-08-22T04:03:00.000Z</t>
  </si>
  <si>
    <t>2026-08-22T06:33:00.000Z</t>
  </si>
  <si>
    <t>BK-2026-0124</t>
  </si>
  <si>
    <t>DL05UX1124</t>
  </si>
  <si>
    <t>2026-08-09T12:14:00.000Z</t>
  </si>
  <si>
    <t>2026-08-09T15:14:00.000Z</t>
  </si>
  <si>
    <t>BK-2026-0125</t>
  </si>
  <si>
    <t>DL06VY1125</t>
  </si>
  <si>
    <t>2026-10-25T12:25:00.000Z</t>
  </si>
  <si>
    <t>2026-10-25T13:25:00.000Z</t>
  </si>
  <si>
    <t>BK-2026-0126</t>
  </si>
  <si>
    <t>DL07WZ1126</t>
  </si>
  <si>
    <t>2026-10-12T03:36:00.000Z</t>
  </si>
  <si>
    <t>2026-10-12T05:06:00.000Z</t>
  </si>
  <si>
    <t>BK-2026-0127</t>
  </si>
  <si>
    <t>DL08XA1127</t>
  </si>
  <si>
    <t>2026-09-29T07:47:00.000Z</t>
  </si>
  <si>
    <t>2026-09-29T09:47:00.000Z</t>
  </si>
  <si>
    <t>BK-2026-0128</t>
  </si>
  <si>
    <t>DL09YB1128</t>
  </si>
  <si>
    <t>2026-09-16T11:58:00.000Z</t>
  </si>
  <si>
    <t>2026-09-16T14:28:00.000Z</t>
  </si>
  <si>
    <t>BK-2026-0129</t>
  </si>
  <si>
    <t>DL10ZC1129</t>
  </si>
  <si>
    <t>2026-09-03T04:09:00.000Z</t>
  </si>
  <si>
    <t>2026-09-03T07:09:00.000Z</t>
  </si>
  <si>
    <t>BK-2026-0130</t>
  </si>
  <si>
    <t>DL11AD1130</t>
  </si>
  <si>
    <t>2026-08-21T09:20:00.000Z</t>
  </si>
  <si>
    <t>2026-08-21T10:20:00.000Z</t>
  </si>
  <si>
    <t>BK-2026-0131</t>
  </si>
  <si>
    <t>DL12BE1131</t>
  </si>
  <si>
    <t>2026-08-08T15:01:00.000Z</t>
  </si>
  <si>
    <t>BK-2026-0132</t>
  </si>
  <si>
    <t>DL01CF1132</t>
  </si>
  <si>
    <t>2026-10-24T11:42:00.000Z</t>
  </si>
  <si>
    <t>2026-10-24T13:42:00.000Z</t>
  </si>
  <si>
    <t>BK-2026-0133</t>
  </si>
  <si>
    <t>DL02DG1133</t>
  </si>
  <si>
    <t>2026-10-11T09:53:00.000Z</t>
  </si>
  <si>
    <t>2026-10-11T12:23:00.000Z</t>
  </si>
  <si>
    <t>BK-2026-0134</t>
  </si>
  <si>
    <t>DL03EH1134</t>
  </si>
  <si>
    <t>2026-09-28T15:04:00.000Z</t>
  </si>
  <si>
    <t>2026-09-28T18:04:00.000Z</t>
  </si>
  <si>
    <t>BK-2026-0135</t>
  </si>
  <si>
    <t>DL04FI1135</t>
  </si>
  <si>
    <t>2026-09-15T04:15:00.000Z</t>
  </si>
  <si>
    <t>2026-09-15T05:15:00.000Z</t>
  </si>
  <si>
    <t>BK-2026-0136</t>
  </si>
  <si>
    <t>DL05GJ1136</t>
  </si>
  <si>
    <t>2026-09-02T12:26:00.000Z</t>
  </si>
  <si>
    <t>2026-09-02T13:56:00.000Z</t>
  </si>
  <si>
    <t>BK-2026-0137</t>
  </si>
  <si>
    <t>DL06HK1137</t>
  </si>
  <si>
    <t>2026-08-20T15:37:00.000Z</t>
  </si>
  <si>
    <t>2026-08-20T17:37:00.000Z</t>
  </si>
  <si>
    <t>BK-2026-0138</t>
  </si>
  <si>
    <t>DL07IL1138</t>
  </si>
  <si>
    <t>2026-08-07T03:48:00.000Z</t>
  </si>
  <si>
    <t>2026-08-07T06:18:00.000Z</t>
  </si>
  <si>
    <t>BK-2026-0139</t>
  </si>
  <si>
    <t>DL08JM1139</t>
  </si>
  <si>
    <t>2026-10-23T11:59:00.000Z</t>
  </si>
  <si>
    <t>2026-10-23T14:59:00.000Z</t>
  </si>
  <si>
    <t>BK-2026-0140</t>
  </si>
  <si>
    <t>DL09KN1140</t>
  </si>
  <si>
    <t>2026-10-10T12:10:00.000Z</t>
  </si>
  <si>
    <t>2026-10-10T13:10:00.000Z</t>
  </si>
  <si>
    <t>BK-2026-0141</t>
  </si>
  <si>
    <t>DL10LO1141</t>
  </si>
  <si>
    <t>2026-09-27T04:21:00.000Z</t>
  </si>
  <si>
    <t>2026-09-27T05:51:00.000Z</t>
  </si>
  <si>
    <t>BK-2026-0142</t>
  </si>
  <si>
    <t>DL11MP1142</t>
  </si>
  <si>
    <t>2026-09-14T12:32:00.000Z</t>
  </si>
  <si>
    <t>2026-09-14T14:32:00.000Z</t>
  </si>
  <si>
    <t>BK-2026-0143</t>
  </si>
  <si>
    <t>DL12NQ1143</t>
  </si>
  <si>
    <t>2026-09-01T03:43:00.000Z</t>
  </si>
  <si>
    <t>2026-09-01T06:13:00.000Z</t>
  </si>
  <si>
    <t>BK-2026-0144</t>
  </si>
  <si>
    <t>DL01OR1144</t>
  </si>
  <si>
    <t>2026-08-19T11:54:00.000Z</t>
  </si>
  <si>
    <t>2026-08-19T14:54:00.000Z</t>
  </si>
  <si>
    <t>BK-2026-0145</t>
  </si>
  <si>
    <t>DL02PS1145</t>
  </si>
  <si>
    <t>2026-08-06T14:05:00.000Z</t>
  </si>
  <si>
    <t>2026-08-06T15:05:00.000Z</t>
  </si>
  <si>
    <t>BK-2026-0146</t>
  </si>
  <si>
    <t>DL03QT1146</t>
  </si>
  <si>
    <t>2026-10-22T05:16:00.000Z</t>
  </si>
  <si>
    <t>2026-10-22T06:46:00.000Z</t>
  </si>
  <si>
    <t>BK-2026-0147</t>
  </si>
  <si>
    <t>DL04RU1147</t>
  </si>
  <si>
    <t>2026-10-09T04:27:00.000Z</t>
  </si>
  <si>
    <t>2026-10-09T06:27:00.000Z</t>
  </si>
  <si>
    <t>BK-2026-0148</t>
  </si>
  <si>
    <t>DL05SV1148</t>
  </si>
  <si>
    <t>2026-09-26T11:38:00.000Z</t>
  </si>
  <si>
    <t>2026-09-26T14:08:00.000Z</t>
  </si>
  <si>
    <t>BK-2026-0149</t>
  </si>
  <si>
    <t>DL06TW1149</t>
  </si>
  <si>
    <t>2026-09-13T05:49:00.000Z</t>
  </si>
  <si>
    <t>2026-09-13T08:49:00.000Z</t>
  </si>
  <si>
    <t>BK-2026-0150</t>
  </si>
  <si>
    <t>DL07UX1150</t>
  </si>
  <si>
    <t>2026-08-31T04:00:00.000Z</t>
  </si>
  <si>
    <t>2026-08-31T05:00:00.000Z</t>
  </si>
  <si>
    <t>BK-2026-0151</t>
  </si>
  <si>
    <t>DL08VY1151</t>
  </si>
  <si>
    <t>2026-08-18T16:11:00.000Z</t>
  </si>
  <si>
    <t>2026-08-18T17:41:00.000Z</t>
  </si>
  <si>
    <t>BK-2026-0152</t>
  </si>
  <si>
    <t>DL09WZ1152</t>
  </si>
  <si>
    <t>2026-08-05T12:22:00.000Z</t>
  </si>
  <si>
    <t>2026-08-05T14:22:00.000Z</t>
  </si>
  <si>
    <t>BK-2026-0153</t>
  </si>
  <si>
    <t>DL10XA1153</t>
  </si>
  <si>
    <t>2026-10-21T03:33:00.000Z</t>
  </si>
  <si>
    <t>2026-10-21T06:03:00.000Z</t>
  </si>
  <si>
    <t>BK-2026-0154</t>
  </si>
  <si>
    <t>DL11YB1154</t>
  </si>
  <si>
    <t>2026-10-08T02:44:00.000Z</t>
  </si>
  <si>
    <t>2026-10-08T05:44:00.000Z</t>
  </si>
  <si>
    <t>BK-2026-0155</t>
  </si>
  <si>
    <t>DL12ZC1155</t>
  </si>
  <si>
    <t>2026-09-25T07:55:00.000Z</t>
  </si>
  <si>
    <t>2026-09-25T08:55:00.000Z</t>
  </si>
  <si>
    <t>BK-2026-0156</t>
  </si>
  <si>
    <t>DL01AD1156</t>
  </si>
  <si>
    <t>2026-09-12T12:06:00.000Z</t>
  </si>
  <si>
    <t>2026-09-12T13:36:00.000Z</t>
  </si>
  <si>
    <t>BK-2026-0157</t>
  </si>
  <si>
    <t>DL02BE1157</t>
  </si>
  <si>
    <t>2026-08-30T04:17:00.000Z</t>
  </si>
  <si>
    <t>2026-08-30T06:17:00.000Z</t>
  </si>
  <si>
    <t>BK-2026-0158</t>
  </si>
  <si>
    <t>DL03CF1158</t>
  </si>
  <si>
    <t>2026-08-17T09:28:00.000Z</t>
  </si>
  <si>
    <t>BK-2026-0159</t>
  </si>
  <si>
    <t>DL04DG1159</t>
  </si>
  <si>
    <t>2026-08-04T03:39:00.000Z</t>
  </si>
  <si>
    <t>2026-08-04T06:39:00.000Z</t>
  </si>
  <si>
    <t>BK-2026-0160</t>
  </si>
  <si>
    <t>DL05EH1160</t>
  </si>
  <si>
    <t>2026-10-20T11:50:00.000Z</t>
  </si>
  <si>
    <t>2026-10-20T12:50:00.000Z</t>
  </si>
  <si>
    <t>BK-2026-0161</t>
  </si>
  <si>
    <t>DL06FI1161</t>
  </si>
  <si>
    <t>2026-10-07T10:01:00.000Z</t>
  </si>
  <si>
    <t>2026-10-07T11:31:00.000Z</t>
  </si>
  <si>
    <t>BK-2026-0162</t>
  </si>
  <si>
    <t>DL07GJ1162</t>
  </si>
  <si>
    <t>2026-09-24T04:12:00.000Z</t>
  </si>
  <si>
    <t>2026-09-24T06:12:00.000Z</t>
  </si>
  <si>
    <t>BK-2026-0163</t>
  </si>
  <si>
    <t>DL08HK1163</t>
  </si>
  <si>
    <t>2026-09-11T08:53:00.000Z</t>
  </si>
  <si>
    <t>BK-2026-0164</t>
  </si>
  <si>
    <t>DL09IL1164</t>
  </si>
  <si>
    <t>2026-08-29T11:34:00.000Z</t>
  </si>
  <si>
    <t>2026-08-29T14:34:00.000Z</t>
  </si>
  <si>
    <t>BK-2026-0165</t>
  </si>
  <si>
    <t>DL10JM1165</t>
  </si>
  <si>
    <t>2026-08-16T03:45:00.000Z</t>
  </si>
  <si>
    <t>2026-08-16T04:45:00.000Z</t>
  </si>
  <si>
    <t>BK-2026-0166</t>
  </si>
  <si>
    <t>DL11KN1166</t>
  </si>
  <si>
    <t>2026-08-03T06:56:00.000Z</t>
  </si>
  <si>
    <t>2026-08-03T08:26:00.000Z</t>
  </si>
  <si>
    <t>BK-2026-0167</t>
  </si>
  <si>
    <t>DL12LO1167</t>
  </si>
  <si>
    <t>2026-10-19T12:07:00.000Z</t>
  </si>
  <si>
    <t>2026-10-19T14:07:00.000Z</t>
  </si>
  <si>
    <t>BK-2026-0168</t>
  </si>
  <si>
    <t>DL01MP1168</t>
  </si>
  <si>
    <t>2026-10-06T12:18:00.000Z</t>
  </si>
  <si>
    <t>2026-10-06T14:48:00.000Z</t>
  </si>
  <si>
    <t>BK-2026-0169</t>
  </si>
  <si>
    <t>DL02NQ1169</t>
  </si>
  <si>
    <t>2026-09-23T08:29:00.000Z</t>
  </si>
  <si>
    <t>2026-09-23T11:29:00.000Z</t>
  </si>
  <si>
    <t>BK-2026-0170</t>
  </si>
  <si>
    <t>DL03OR1170</t>
  </si>
  <si>
    <t>2026-09-10T12:40:00.000Z</t>
  </si>
  <si>
    <t>2026-09-10T13:40:00.000Z</t>
  </si>
  <si>
    <t>BK-2026-0171</t>
  </si>
  <si>
    <t>DL04PS1171</t>
  </si>
  <si>
    <t>2026-08-28T03:51:00.000Z</t>
  </si>
  <si>
    <t>2026-08-28T05:21:00.000Z</t>
  </si>
  <si>
    <t>BK-2026-0172</t>
  </si>
  <si>
    <t>DL05QT1172</t>
  </si>
  <si>
    <t>2026-08-15T12:02:00.000Z</t>
  </si>
  <si>
    <t>2026-08-15T14:02:00.000Z</t>
  </si>
  <si>
    <t>BK-2026-0173</t>
  </si>
  <si>
    <t>DL06RU1173</t>
  </si>
  <si>
    <t>2026-08-02T16:43:00.000Z</t>
  </si>
  <si>
    <t>BK-2026-0174</t>
  </si>
  <si>
    <t>DL07SV1174</t>
  </si>
  <si>
    <t>2026-10-18T04:24:00.000Z</t>
  </si>
  <si>
    <t>2026-10-18T07:24:00.000Z</t>
  </si>
  <si>
    <t>BK-2026-0175</t>
  </si>
  <si>
    <t>DL08TW1175</t>
  </si>
  <si>
    <t>2026-10-05T09:35:00.000Z</t>
  </si>
  <si>
    <t>2026-10-05T10:35:00.000Z</t>
  </si>
  <si>
    <t>BK-2026-0176</t>
  </si>
  <si>
    <t>DL09UX1176</t>
  </si>
  <si>
    <t>2026-09-22T11:46:00.000Z</t>
  </si>
  <si>
    <t>BK-2026-0177</t>
  </si>
  <si>
    <t>DL10VY1177</t>
  </si>
  <si>
    <t>2026-09-09T03:57:00.000Z</t>
  </si>
  <si>
    <t>2026-09-09T05:57:00.000Z</t>
  </si>
  <si>
    <t>BK-2026-0178</t>
  </si>
  <si>
    <t>DL11WZ1178</t>
  </si>
  <si>
    <t>2026-08-27T11:08:00.000Z</t>
  </si>
  <si>
    <t>2026-08-27T13:38:00.000Z</t>
  </si>
  <si>
    <t>BK-2026-0179</t>
  </si>
  <si>
    <t>DL12XA1179</t>
  </si>
  <si>
    <t>2026-08-14T16:19:00.000Z</t>
  </si>
  <si>
    <t>2026-08-14T19:19:00.000Z</t>
  </si>
  <si>
    <t>BK-2026-0180</t>
  </si>
  <si>
    <t>DL01YB1180</t>
  </si>
  <si>
    <t>2026-10-30T11:30:00.000Z</t>
  </si>
  <si>
    <t>2026-10-30T12:30:00.000Z</t>
  </si>
  <si>
    <t>BK-2026-0181</t>
  </si>
  <si>
    <t>DL02ZC1181</t>
  </si>
  <si>
    <t>2026-10-17T13:11:00.000Z</t>
  </si>
  <si>
    <t>BK-2026-0182</t>
  </si>
  <si>
    <t>DL03AD1182</t>
  </si>
  <si>
    <t>2026-10-04T02:52:00.000Z</t>
  </si>
  <si>
    <t>2026-10-04T04:52:00.000Z</t>
  </si>
  <si>
    <t>BK-2026-0183</t>
  </si>
  <si>
    <t>DL04BE1183</t>
  </si>
  <si>
    <t>BK-2026-0184</t>
  </si>
  <si>
    <t>DL05CF1184</t>
  </si>
  <si>
    <t>BK-2026-0185</t>
  </si>
  <si>
    <t>DL06DG1185</t>
  </si>
  <si>
    <t>2026-08-26T04:25:00.000Z</t>
  </si>
  <si>
    <t>2026-08-26T05:25:00.000Z</t>
  </si>
  <si>
    <t>BK-2026-0186</t>
  </si>
  <si>
    <t>DL07EH1186</t>
  </si>
  <si>
    <t>BK-2026-0187</t>
  </si>
  <si>
    <t>DL08FI1187</t>
  </si>
  <si>
    <t>2026-10-29T13:47:00.000Z</t>
  </si>
  <si>
    <t>2026-10-29T15:47:00.000Z</t>
  </si>
  <si>
    <t>BK-2026-0188</t>
  </si>
  <si>
    <t>DL09GJ1188</t>
  </si>
  <si>
    <t>BK-2026-0189</t>
  </si>
  <si>
    <t>DL10HK1189</t>
  </si>
  <si>
    <t>BK-2026-0190</t>
  </si>
  <si>
    <t>DL11IL1190</t>
  </si>
  <si>
    <t>2026-09-20T15:20:00.000Z</t>
  </si>
  <si>
    <t>2026-09-20T16:20:00.000Z</t>
  </si>
  <si>
    <t>BK-2026-0191</t>
  </si>
  <si>
    <t>DL12JM1191</t>
  </si>
  <si>
    <t>2026-09-07T07:01:00.000Z</t>
  </si>
  <si>
    <t>BK-2026-0192</t>
  </si>
  <si>
    <t>DL01KN1192</t>
  </si>
  <si>
    <t>BK-2026-0193</t>
  </si>
  <si>
    <t>DL02LO1193</t>
  </si>
  <si>
    <t>2026-08-12T15:53:00.000Z</t>
  </si>
  <si>
    <t>2026-08-12T18:23:00.000Z</t>
  </si>
  <si>
    <t>BK-2026-0194</t>
  </si>
  <si>
    <t>DL03MP1194</t>
  </si>
  <si>
    <t>2026-10-28T07:04:00.000Z</t>
  </si>
  <si>
    <t>2026-10-28T10:04:00.000Z</t>
  </si>
  <si>
    <t>BK-2026-0195</t>
  </si>
  <si>
    <t>DL04NQ1195</t>
  </si>
  <si>
    <t>BK-2026-0196</t>
  </si>
  <si>
    <t>DL05OR1196</t>
  </si>
  <si>
    <t>BK-2026-0197</t>
  </si>
  <si>
    <t>DL06PS1197</t>
  </si>
  <si>
    <t>2026-09-19T07:37:00.000Z</t>
  </si>
  <si>
    <t>2026-09-19T09:37:00.000Z</t>
  </si>
  <si>
    <t>BK-2026-0198</t>
  </si>
  <si>
    <t>DL07QT1198</t>
  </si>
  <si>
    <t>BK-2026-0199</t>
  </si>
  <si>
    <t>DL08RU1199</t>
  </si>
  <si>
    <t>2026-08-24T03:59:00.000Z</t>
  </si>
  <si>
    <t>2026-08-24T06:59:00.000Z</t>
  </si>
  <si>
    <t>BK-2026-0200</t>
  </si>
  <si>
    <t>DL09SV1200</t>
  </si>
  <si>
    <t>BK-2026-0201</t>
  </si>
  <si>
    <t>DL10TW1201</t>
  </si>
  <si>
    <t>BK-2026-0202</t>
  </si>
  <si>
    <t>DL11UX1202</t>
  </si>
  <si>
    <t>2026-10-14T04:32:00.000Z</t>
  </si>
  <si>
    <t>2026-10-14T06:32:00.000Z</t>
  </si>
  <si>
    <t>BK-2026-0203</t>
  </si>
  <si>
    <t>DL12VY1203</t>
  </si>
  <si>
    <t>2026-10-01T09:43:00.000Z</t>
  </si>
  <si>
    <t>2026-10-01T12:13:00.000Z</t>
  </si>
  <si>
    <t>BK-2026-0204</t>
  </si>
  <si>
    <t>DL01WZ1204</t>
  </si>
  <si>
    <t>BK-2026-0205</t>
  </si>
  <si>
    <t>DL02XA1205</t>
  </si>
  <si>
    <t>2026-09-05T06:05:00.000Z</t>
  </si>
  <si>
    <t>2026-09-05T07:05:00.000Z</t>
  </si>
  <si>
    <t>BK-2026-0206</t>
  </si>
  <si>
    <t>DL03YB1206</t>
  </si>
  <si>
    <t>2026-08-23T11:16:00.000Z</t>
  </si>
  <si>
    <t>2026-08-23T12:46:00.000Z</t>
  </si>
  <si>
    <t>BK-2026-0207</t>
  </si>
  <si>
    <t>DL04ZC1207</t>
  </si>
  <si>
    <t>BK-2026-0208</t>
  </si>
  <si>
    <t>DL05AD1208</t>
  </si>
  <si>
    <t>BK-2026-0209</t>
  </si>
  <si>
    <t>DL06BE1209</t>
  </si>
  <si>
    <t>2026-10-13T11:49:00.000Z</t>
  </si>
  <si>
    <t>2026-10-13T14:49:00.000Z</t>
  </si>
  <si>
    <t>BK-2026-0210</t>
  </si>
  <si>
    <t>DL07CF1210</t>
  </si>
  <si>
    <t>2026-10-01T16:00:00.000Z</t>
  </si>
  <si>
    <t>BK-2026-0211</t>
  </si>
  <si>
    <t>DL08DG1211</t>
  </si>
  <si>
    <t>2026-09-17T08:11:00.000Z</t>
  </si>
  <si>
    <t>2026-09-17T09:41:00.000Z</t>
  </si>
  <si>
    <t>BK-2026-0212</t>
  </si>
  <si>
    <t>DL09EH1212</t>
  </si>
  <si>
    <t>BK-2026-0213</t>
  </si>
  <si>
    <t>DL10FI1213</t>
  </si>
  <si>
    <t>BK-2026-0214</t>
  </si>
  <si>
    <t>DL11GJ1214</t>
  </si>
  <si>
    <t>2026-08-09T08:44:00.000Z</t>
  </si>
  <si>
    <t>2026-08-09T11:44:00.000Z</t>
  </si>
  <si>
    <t>BK-2026-0215</t>
  </si>
  <si>
    <t>DL12HK1215</t>
  </si>
  <si>
    <t>2026-10-25T13:55:00.000Z</t>
  </si>
  <si>
    <t>2026-10-25T14:55:00.000Z</t>
  </si>
  <si>
    <t>BK-2026-0216</t>
  </si>
  <si>
    <t>DL01IL1216</t>
  </si>
  <si>
    <t>BK-2026-0217</t>
  </si>
  <si>
    <t>DL02JM1217</t>
  </si>
  <si>
    <t>2026-09-29T10:17:00.000Z</t>
  </si>
  <si>
    <t>2026-09-29T12:17:00.000Z</t>
  </si>
  <si>
    <t>BK-2026-0218</t>
  </si>
  <si>
    <t>DL03KN1218</t>
  </si>
  <si>
    <t>2026-09-16T15:28:00.000Z</t>
  </si>
  <si>
    <t>2026-09-16T17:58:00.000Z</t>
  </si>
  <si>
    <t>BK-2026-0219</t>
  </si>
  <si>
    <t>DL04LO1219</t>
  </si>
  <si>
    <t>BK-2026-0220</t>
  </si>
  <si>
    <t>DL05MP1220</t>
  </si>
  <si>
    <t>BK-2026-0221</t>
  </si>
  <si>
    <t>DL06NQ1221</t>
  </si>
  <si>
    <t>2026-08-08T16:01:00.000Z</t>
  </si>
  <si>
    <t>2026-08-08T17:31:00.000Z</t>
  </si>
  <si>
    <t>BK-2026-0222</t>
  </si>
  <si>
    <t>DL07OR1222</t>
  </si>
  <si>
    <t>2026-10-24T06:12:00.000Z</t>
  </si>
  <si>
    <t>BK-2026-0223</t>
  </si>
  <si>
    <t>DL08PS1223</t>
  </si>
  <si>
    <t>2026-10-11T14:53:00.000Z</t>
  </si>
  <si>
    <t>BK-2026-0224</t>
  </si>
  <si>
    <t>DL09QT1224</t>
  </si>
  <si>
    <t>BK-2026-0225</t>
  </si>
  <si>
    <t>DL10RU1225</t>
  </si>
  <si>
    <t>BK-2026-0226</t>
  </si>
  <si>
    <t>DL11SV1226</t>
  </si>
  <si>
    <t>2026-09-02T12:56:00.000Z</t>
  </si>
  <si>
    <t>2026-09-02T14:26:00.000Z</t>
  </si>
  <si>
    <t>BK-2026-0227</t>
  </si>
  <si>
    <t>DL12TW1227</t>
  </si>
  <si>
    <t>2026-08-20T04:07:00.000Z</t>
  </si>
  <si>
    <t>2026-08-20T06:07:00.000Z</t>
  </si>
  <si>
    <t>BK-2026-0228</t>
  </si>
  <si>
    <t>DL01UX1228</t>
  </si>
  <si>
    <t>BK-2026-0229</t>
  </si>
  <si>
    <t>DL02VY1229</t>
  </si>
  <si>
    <t>2026-10-23T14:29:00.000Z</t>
  </si>
  <si>
    <t>2026-10-23T17:29:00.000Z</t>
  </si>
  <si>
    <t>BK-2026-0230</t>
  </si>
  <si>
    <t>DL03WZ1230</t>
  </si>
  <si>
    <t>2026-10-10T04:40:00.000Z</t>
  </si>
  <si>
    <t>2026-10-10T05:40:00.000Z</t>
  </si>
  <si>
    <t>BK-2026-0231</t>
  </si>
  <si>
    <t>DL04XA1231</t>
  </si>
  <si>
    <t>BK-2026-0232</t>
  </si>
  <si>
    <t>DL05YB1232</t>
  </si>
  <si>
    <t>BK-2026-0233</t>
  </si>
  <si>
    <t>DL06ZC1233</t>
  </si>
  <si>
    <t>2026-09-01T08:43:00.000Z</t>
  </si>
  <si>
    <t>BK-2026-0234</t>
  </si>
  <si>
    <t>DL07AD1234</t>
  </si>
  <si>
    <t>BK-2026-0235</t>
  </si>
  <si>
    <t>DL08BE1235</t>
  </si>
  <si>
    <t>2026-08-06T15:35:00.000Z</t>
  </si>
  <si>
    <t>2026-08-06T16:35:00.000Z</t>
  </si>
  <si>
    <t>BK-2026-0236</t>
  </si>
  <si>
    <t>DL09CF1236</t>
  </si>
  <si>
    <t>BK-2026-0237</t>
  </si>
  <si>
    <t>DL10DG1237</t>
  </si>
  <si>
    <t>BK-2026-0238</t>
  </si>
  <si>
    <t>DL11EH1238</t>
  </si>
  <si>
    <t>2026-09-26T03:08:00.000Z</t>
  </si>
  <si>
    <t>2026-09-26T05:38:00.000Z</t>
  </si>
  <si>
    <t>BK-2026-0239</t>
  </si>
  <si>
    <t>DL12FI1239</t>
  </si>
  <si>
    <t>2026-09-13T08:19:00.000Z</t>
  </si>
  <si>
    <t>2026-09-13T11:19:00.000Z</t>
  </si>
  <si>
    <t>BK-2026-0240</t>
  </si>
  <si>
    <t>DL01GJ1240</t>
  </si>
  <si>
    <t>BK-2026-0241</t>
  </si>
  <si>
    <t>DL02HK1241</t>
  </si>
  <si>
    <t>2026-08-18T03:41:00.000Z</t>
  </si>
  <si>
    <t>2026-08-18T05:11:00.000Z</t>
  </si>
  <si>
    <t>BK-2026-0242</t>
  </si>
  <si>
    <t>DL03IL1242</t>
  </si>
  <si>
    <t>2026-08-05T08:52:00.000Z</t>
  </si>
  <si>
    <t>2026-08-05T10:52:00.000Z</t>
  </si>
  <si>
    <t>BK-2026-0243</t>
  </si>
  <si>
    <t>DL04JM1243</t>
  </si>
  <si>
    <t>BK-2026-0244</t>
  </si>
  <si>
    <t>DL05KN1244</t>
  </si>
  <si>
    <t>BK-2026-0245</t>
  </si>
  <si>
    <t>DL06LO1245</t>
  </si>
  <si>
    <t>2026-09-25T10:25:00.000Z</t>
  </si>
  <si>
    <t>2026-09-25T11:25:00.000Z</t>
  </si>
  <si>
    <t>BK-2026-0246</t>
  </si>
  <si>
    <t>DL07MP1246</t>
  </si>
  <si>
    <t>BK-2026-0247</t>
  </si>
  <si>
    <t>DL08NQ1247</t>
  </si>
  <si>
    <t>2026-08-30T05:47:00.000Z</t>
  </si>
  <si>
    <t>2026-08-30T07:47:00.000Z</t>
  </si>
  <si>
    <t>BK-2026-0248</t>
  </si>
  <si>
    <t>DL09OR1248</t>
  </si>
  <si>
    <t>BK-2026-0249</t>
  </si>
  <si>
    <t>DL10PS1249</t>
  </si>
  <si>
    <t>BK-2026-0250</t>
  </si>
  <si>
    <t>DL11QT1250</t>
  </si>
  <si>
    <t>2026-10-20T07:20:00.000Z</t>
  </si>
  <si>
    <t>2026-10-20T08:20:00.000Z</t>
  </si>
  <si>
    <t>BK-2026-0251</t>
  </si>
  <si>
    <t>DL12RU1251</t>
  </si>
  <si>
    <t>2026-10-07T13:01:00.000Z</t>
  </si>
  <si>
    <t>BK-2026-0252</t>
  </si>
  <si>
    <t>DL01SV1252</t>
  </si>
  <si>
    <t>BK-2026-0253</t>
  </si>
  <si>
    <t>DL02TW1253</t>
  </si>
  <si>
    <t>2026-09-11T07:53:00.000Z</t>
  </si>
  <si>
    <t>2026-09-11T10:23:00.000Z</t>
  </si>
  <si>
    <t>BK-2026-0254</t>
  </si>
  <si>
    <t>DL03UX1254</t>
  </si>
  <si>
    <t>2026-08-29T13:04:00.000Z</t>
  </si>
  <si>
    <t>2026-08-29T16:04:00.000Z</t>
  </si>
  <si>
    <t>BK-2026-0255</t>
  </si>
  <si>
    <t>DL04VY1255</t>
  </si>
  <si>
    <t>BK-2026-0256</t>
  </si>
  <si>
    <t>DL05WZ1256</t>
  </si>
  <si>
    <t>BK-2026-0257</t>
  </si>
  <si>
    <t>DL06XA1257</t>
  </si>
  <si>
    <t>2026-10-19T13:37:00.000Z</t>
  </si>
  <si>
    <t>2026-10-19T15:37:00.000Z</t>
  </si>
  <si>
    <t>BK-2026-0258</t>
  </si>
  <si>
    <t>DL07YB1258</t>
  </si>
  <si>
    <t>BK-2026-0259</t>
  </si>
  <si>
    <t>DL08ZC1259</t>
  </si>
  <si>
    <t>2026-09-23T09:59:00.000Z</t>
  </si>
  <si>
    <t>2026-09-23T12:59:00.000Z</t>
  </si>
  <si>
    <t>BK-2026-0260</t>
  </si>
  <si>
    <t>DL09AD1260</t>
  </si>
  <si>
    <t>BK-2026-0261</t>
  </si>
  <si>
    <t>DL10BE1261</t>
  </si>
  <si>
    <t>BK-2026-0262</t>
  </si>
  <si>
    <t>DL11CF1262</t>
  </si>
  <si>
    <t>2026-08-15T10:32:00.000Z</t>
  </si>
  <si>
    <t>2026-08-15T12:32:00.000Z</t>
  </si>
  <si>
    <t>BK-2026-0263</t>
  </si>
  <si>
    <t>DL12DG1263</t>
  </si>
  <si>
    <t>2026-08-02T15:43:00.000Z</t>
  </si>
  <si>
    <t>2026-08-02T18:13:00.000Z</t>
  </si>
  <si>
    <t>BK-2026-0264</t>
  </si>
  <si>
    <t>DL01EH1264</t>
  </si>
  <si>
    <t>BK-2026-0265</t>
  </si>
  <si>
    <t>DL02FI1265</t>
  </si>
  <si>
    <t>2026-10-05T12:05:00.000Z</t>
  </si>
  <si>
    <t>2026-10-05T13:05:00.000Z</t>
  </si>
  <si>
    <t>BK-2026-0266</t>
  </si>
  <si>
    <t>DL03GJ1266</t>
  </si>
  <si>
    <t>2026-09-22T03:16:00.000Z</t>
  </si>
  <si>
    <t>2026-09-22T04:46:00.000Z</t>
  </si>
  <si>
    <t>BK-2026-0267</t>
  </si>
  <si>
    <t>DL04HK1267</t>
  </si>
  <si>
    <t>BK-2026-0268</t>
  </si>
  <si>
    <t>DL05IL1268</t>
  </si>
  <si>
    <t>BK-2026-0269</t>
  </si>
  <si>
    <t>DL06JM1269</t>
  </si>
  <si>
    <t>2026-08-14T03:49:00.000Z</t>
  </si>
  <si>
    <t>2026-08-14T06:49:00.000Z</t>
  </si>
  <si>
    <t>BK-2026-0270</t>
  </si>
  <si>
    <t>DL07KN1270</t>
  </si>
  <si>
    <t>BK-2026-0271</t>
  </si>
  <si>
    <t>DL08LO1271</t>
  </si>
  <si>
    <t>2026-10-17T14:11:00.000Z</t>
  </si>
  <si>
    <t>2026-10-17T15:41:00.000Z</t>
  </si>
  <si>
    <t>BK-2026-0272</t>
  </si>
  <si>
    <t>DL09MP1272</t>
  </si>
  <si>
    <t>BK-2026-0273</t>
  </si>
  <si>
    <t>DL10NQ1273</t>
  </si>
  <si>
    <t>BK-2026-0274</t>
  </si>
  <si>
    <t>DL11OR1274</t>
  </si>
  <si>
    <t>2026-09-08T14:44:00.000Z</t>
  </si>
  <si>
    <t>2026-09-08T17:44:00.000Z</t>
  </si>
  <si>
    <t>BK-2026-0275</t>
  </si>
  <si>
    <t>DL12PS1275</t>
  </si>
  <si>
    <t>2026-08-26T05:55:00.000Z</t>
  </si>
  <si>
    <t>2026-08-26T06:55:00.000Z</t>
  </si>
  <si>
    <t>BK-2026-0276</t>
  </si>
  <si>
    <t>DL01QT1276</t>
  </si>
  <si>
    <t>BK-2026-0277</t>
  </si>
  <si>
    <t>DL02RU1277</t>
  </si>
  <si>
    <t>2026-10-29T16:17:00.000Z</t>
  </si>
  <si>
    <t>2026-10-29T18:17:00.000Z</t>
  </si>
  <si>
    <t>BK-2026-0278</t>
  </si>
  <si>
    <t>DL03SV1278</t>
  </si>
  <si>
    <t>2026-10-16T07:28:00.000Z</t>
  </si>
  <si>
    <t>2026-10-16T09:58:00.000Z</t>
  </si>
  <si>
    <t>BK-2026-0279</t>
  </si>
  <si>
    <t>DL04TW1279</t>
  </si>
  <si>
    <t>BK-2026-0280</t>
  </si>
  <si>
    <t>DL05UX1280</t>
  </si>
  <si>
    <t>BK-2026-0281</t>
  </si>
  <si>
    <t>DL06VY1281</t>
  </si>
  <si>
    <t>2026-09-07T08:01:00.000Z</t>
  </si>
  <si>
    <t>2026-09-07T09:31:00.000Z</t>
  </si>
  <si>
    <t>BK-2026-0282</t>
  </si>
  <si>
    <t>DL07WZ1282</t>
  </si>
  <si>
    <t>BK-2026-0283</t>
  </si>
  <si>
    <t>DL08XA1283</t>
  </si>
  <si>
    <t>2026-08-12T04:23:00.000Z</t>
  </si>
  <si>
    <t>2026-08-12T06:53:00.000Z</t>
  </si>
  <si>
    <t>BK-2026-0284</t>
  </si>
  <si>
    <t>DL09YB1284</t>
  </si>
  <si>
    <t>BK-2026-0285</t>
  </si>
  <si>
    <t>DL10ZC1285</t>
  </si>
  <si>
    <t>2026-10-15T04:45:00.000Z</t>
  </si>
  <si>
    <t>BK-2026-0286</t>
  </si>
  <si>
    <t>DL11AD1286</t>
  </si>
  <si>
    <t>2026-10-02T04:56:00.000Z</t>
  </si>
  <si>
    <t>2026-10-02T06:26:00.000Z</t>
  </si>
  <si>
    <t>BK-2026-0287</t>
  </si>
  <si>
    <t>DL12BE1287</t>
  </si>
  <si>
    <t>2026-09-19T10:07:00.000Z</t>
  </si>
  <si>
    <t>2026-09-19T12:07:00.000Z</t>
  </si>
  <si>
    <t>BK-2026-0288</t>
  </si>
  <si>
    <t>DL01CF1288</t>
  </si>
  <si>
    <t>BK-2026-0289</t>
  </si>
  <si>
    <t>DL02DG1289</t>
  </si>
  <si>
    <t>2026-08-24T06:29:00.000Z</t>
  </si>
  <si>
    <t>2026-08-24T09:29:00.000Z</t>
  </si>
  <si>
    <t>BK-2026-0290</t>
  </si>
  <si>
    <t>DL03EH1290</t>
  </si>
  <si>
    <t>2026-08-11T10:40:00.000Z</t>
  </si>
  <si>
    <t>2026-08-11T11:40:00.000Z</t>
  </si>
  <si>
    <t>BK-2026-0291</t>
  </si>
  <si>
    <t>DL04FI1291</t>
  </si>
  <si>
    <t>BK-2026-0292</t>
  </si>
  <si>
    <t>DL05GJ1292</t>
  </si>
  <si>
    <t>BK-2026-0293</t>
  </si>
  <si>
    <t>DL06HK1293</t>
  </si>
  <si>
    <t>2026-10-01T14:43:00.000Z</t>
  </si>
  <si>
    <t>BK-2026-0294</t>
  </si>
  <si>
    <t>DL07IL1294</t>
  </si>
  <si>
    <t>BK-2026-0295</t>
  </si>
  <si>
    <t>DL08JM1295</t>
  </si>
  <si>
    <t>2026-09-05T07:35:00.000Z</t>
  </si>
  <si>
    <t>2026-09-05T08:35:00.000Z</t>
  </si>
  <si>
    <t>BK-2026-0296</t>
  </si>
  <si>
    <t>DL09KN1296</t>
  </si>
  <si>
    <t>BK-2026-0297</t>
  </si>
  <si>
    <t>DL10LO1297</t>
  </si>
  <si>
    <t>BK-2026-0298</t>
  </si>
  <si>
    <t>DL11MP1298</t>
  </si>
  <si>
    <t>2026-10-26T09:08:00.000Z</t>
  </si>
  <si>
    <t>BK-2026-0299</t>
  </si>
  <si>
    <t>DL12NQ1299</t>
  </si>
  <si>
    <t>2026-10-13T14:19:00.000Z</t>
  </si>
  <si>
    <t>2026-10-13T17:19:00.000Z</t>
  </si>
  <si>
    <t>BK-2026-0300</t>
  </si>
  <si>
    <t>DL01OR1300</t>
  </si>
  <si>
    <t>BK-2026-0301</t>
  </si>
  <si>
    <t>DL02PS1301</t>
  </si>
  <si>
    <t>2026-09-17T11:11:00.000Z</t>
  </si>
  <si>
    <t>BK-2026-0302</t>
  </si>
  <si>
    <t>DL03QT1302</t>
  </si>
  <si>
    <t>2026-09-04T14:52:00.000Z</t>
  </si>
  <si>
    <t>2026-09-04T16:52:00.000Z</t>
  </si>
  <si>
    <t>BK-2026-0303</t>
  </si>
  <si>
    <t>DL04RU1303</t>
  </si>
  <si>
    <t>BK-2026-0304</t>
  </si>
  <si>
    <t>DL05SV1304</t>
  </si>
  <si>
    <t>BK-2026-0305</t>
  </si>
  <si>
    <t>DL06TW1305</t>
  </si>
  <si>
    <t>2026-10-25T16:25:00.000Z</t>
  </si>
  <si>
    <t>2026-10-25T17:25:00.000Z</t>
  </si>
  <si>
    <t>BK-2026-0306</t>
  </si>
  <si>
    <t>DL07UX1306</t>
  </si>
  <si>
    <t>BK-2026-0307</t>
  </si>
  <si>
    <t>DL08VY1307</t>
  </si>
  <si>
    <t>2026-09-29T11:47:00.000Z</t>
  </si>
  <si>
    <t>2026-09-29T13:47:00.000Z</t>
  </si>
  <si>
    <t>BK-2026-0308</t>
  </si>
  <si>
    <t>DL09WZ1308</t>
  </si>
  <si>
    <t>BK-2026-0309</t>
  </si>
  <si>
    <t>DL10XA1309</t>
  </si>
  <si>
    <t>BK-2026-0310</t>
  </si>
  <si>
    <t>DL11YB1310</t>
  </si>
  <si>
    <t>2026-08-21T13:20:00.000Z</t>
  </si>
  <si>
    <t>2026-08-21T14:20:00.000Z</t>
  </si>
  <si>
    <t>BK-2026-0311</t>
  </si>
  <si>
    <t>DL12ZC1311</t>
  </si>
  <si>
    <t>2026-08-08T03:31:00.000Z</t>
  </si>
  <si>
    <t>2026-08-08T05:01:00.000Z</t>
  </si>
  <si>
    <t>BK-2026-0312</t>
  </si>
  <si>
    <t>DL01AD1312</t>
  </si>
  <si>
    <t>BK-2026-0313</t>
  </si>
  <si>
    <t>DL02BE1313</t>
  </si>
  <si>
    <t>2026-10-11T13:53:00.000Z</t>
  </si>
  <si>
    <t>2026-10-11T16:23:00.000Z</t>
  </si>
  <si>
    <t>BK-2026-0314</t>
  </si>
  <si>
    <t>DL03CF1314</t>
  </si>
  <si>
    <t>2026-09-28T05:04:00.000Z</t>
  </si>
  <si>
    <t>2026-09-28T08:04:00.000Z</t>
  </si>
  <si>
    <t>BK-2026-0315</t>
  </si>
  <si>
    <t>DL04DG1315</t>
  </si>
  <si>
    <t>BK-2026-0316</t>
  </si>
  <si>
    <t>DL05EH1316</t>
  </si>
  <si>
    <t>BK-2026-0317</t>
  </si>
  <si>
    <t>DL06FI1317</t>
  </si>
  <si>
    <t>2026-08-20T05:37:00.000Z</t>
  </si>
  <si>
    <t>2026-08-20T07:37:00.000Z</t>
  </si>
  <si>
    <t>BK-2026-0318</t>
  </si>
  <si>
    <t>DL07GJ1318</t>
  </si>
  <si>
    <t>BK-2026-0319</t>
  </si>
  <si>
    <t>DL08HK1319</t>
  </si>
  <si>
    <t>2026-10-23T15:59:00.000Z</t>
  </si>
  <si>
    <t>2026-10-23T18:59:00.000Z</t>
  </si>
  <si>
    <t>BK-2026-0320</t>
  </si>
  <si>
    <t>DL09IL1320</t>
  </si>
  <si>
    <t>BK-2026-0321</t>
  </si>
  <si>
    <t>DL10JM1321</t>
  </si>
  <si>
    <t>BK-2026-0322</t>
  </si>
  <si>
    <t>DL11KN1322</t>
  </si>
  <si>
    <t>2026-09-14T02:32:00.000Z</t>
  </si>
  <si>
    <t>2026-09-14T04:32:00.000Z</t>
  </si>
  <si>
    <t>BK-2026-0323</t>
  </si>
  <si>
    <t>DL12LO1323</t>
  </si>
  <si>
    <t>2026-09-01T07:43:00.000Z</t>
  </si>
  <si>
    <t>2026-09-01T10:13:00.000Z</t>
  </si>
  <si>
    <t>BK-2026-0324</t>
  </si>
  <si>
    <t>DL01MP1324</t>
  </si>
  <si>
    <t>BK-2026-0325</t>
  </si>
  <si>
    <t>DL02NQ1325</t>
  </si>
  <si>
    <t>2026-08-06T04:05:00.000Z</t>
  </si>
  <si>
    <t>2026-08-06T05:05:00.000Z</t>
  </si>
  <si>
    <t>BK-2026-0326</t>
  </si>
  <si>
    <t>DL03OR1326</t>
  </si>
  <si>
    <t>2026-10-22T09:16:00.000Z</t>
  </si>
  <si>
    <t>2026-10-22T10:46:00.000Z</t>
  </si>
  <si>
    <t>BK-2026-0327</t>
  </si>
  <si>
    <t>DL04PS1327</t>
  </si>
  <si>
    <t>BK-2026-0328</t>
  </si>
  <si>
    <t>DL05QT1328</t>
  </si>
  <si>
    <t>BK-2026-0329</t>
  </si>
  <si>
    <t>DL06RU1329</t>
  </si>
  <si>
    <t>2026-09-13T09:49:00.000Z</t>
  </si>
  <si>
    <t>2026-09-13T12:49:00.000Z</t>
  </si>
  <si>
    <t>BK-2026-0330</t>
  </si>
  <si>
    <t>DL07SV1330</t>
  </si>
  <si>
    <t>BK-2026-0331</t>
  </si>
  <si>
    <t>DL08TW1331</t>
  </si>
  <si>
    <t>2026-08-18T06:11:00.000Z</t>
  </si>
  <si>
    <t>2026-08-18T07:41:00.000Z</t>
  </si>
  <si>
    <t>BK-2026-0332</t>
  </si>
  <si>
    <t>DL09UX1332</t>
  </si>
  <si>
    <t>BK-2026-0333</t>
  </si>
  <si>
    <t>DL10VY1333</t>
  </si>
  <si>
    <t>BK-2026-0334</t>
  </si>
  <si>
    <t>DL11WZ1334</t>
  </si>
  <si>
    <t>2026-10-08T06:44:00.000Z</t>
  </si>
  <si>
    <t>2026-10-08T09:44:00.000Z</t>
  </si>
  <si>
    <t>BK-2026-0335</t>
  </si>
  <si>
    <t>DL12XA1335</t>
  </si>
  <si>
    <t>2026-09-25T11:55:00.000Z</t>
  </si>
  <si>
    <t>2026-09-25T12:55:00.000Z</t>
  </si>
  <si>
    <t>BK-2026-0336</t>
  </si>
  <si>
    <t>DL01YB1336</t>
  </si>
  <si>
    <t>BK-2026-0337</t>
  </si>
  <si>
    <t>DL02ZC1337</t>
  </si>
  <si>
    <t>2026-08-30T08:17:00.000Z</t>
  </si>
  <si>
    <t>2026-08-30T10:17:00.000Z</t>
  </si>
  <si>
    <t>BK-2026-0338</t>
  </si>
  <si>
    <t>DL03AD1338</t>
  </si>
  <si>
    <t>2026-08-17T13:28:00.000Z</t>
  </si>
  <si>
    <t>2026-08-17T15:58:00.000Z</t>
  </si>
  <si>
    <t>BK-2026-0339</t>
  </si>
  <si>
    <t>DL04BE1339</t>
  </si>
  <si>
    <t>BK-2026-0340</t>
  </si>
  <si>
    <t>DL05CF1340</t>
  </si>
  <si>
    <t>BK-2026-0341</t>
  </si>
  <si>
    <t>DL06DG1341</t>
  </si>
  <si>
    <t>2026-10-07T14:01:00.000Z</t>
  </si>
  <si>
    <t>2026-10-07T15:31:00.000Z</t>
  </si>
  <si>
    <t>BK-2026-0342</t>
  </si>
  <si>
    <t>DL07EH1342</t>
  </si>
  <si>
    <t>BK-2026-0343</t>
  </si>
  <si>
    <t>DL08FI1343</t>
  </si>
  <si>
    <t>2026-09-11T12:53:00.000Z</t>
  </si>
  <si>
    <t>BK-2026-0344</t>
  </si>
  <si>
    <t>DL09GJ1344</t>
  </si>
  <si>
    <t>BK-2026-0345</t>
  </si>
  <si>
    <t>DL10HK1345</t>
  </si>
  <si>
    <t>BK-2026-0346</t>
  </si>
  <si>
    <t>DL11IL1346</t>
  </si>
  <si>
    <t>2026-08-03T10:56:00.000Z</t>
  </si>
  <si>
    <t>BK-2026-0347</t>
  </si>
  <si>
    <t>DL12JM1347</t>
  </si>
  <si>
    <t>2026-10-19T16:07:00.000Z</t>
  </si>
  <si>
    <t>2026-10-19T18:07:00.000Z</t>
  </si>
  <si>
    <t>BK-2026-0348</t>
  </si>
  <si>
    <t>DL01KN1348</t>
  </si>
  <si>
    <t>BK-2026-0349</t>
  </si>
  <si>
    <t>DL02LO1349</t>
  </si>
  <si>
    <t>2026-09-23T12:29:00.000Z</t>
  </si>
  <si>
    <t>2026-09-23T15:29:00.000Z</t>
  </si>
  <si>
    <t>BK-2026-0350</t>
  </si>
  <si>
    <t>DL03MP1350</t>
  </si>
  <si>
    <t>2026-09-10T02:40:00.000Z</t>
  </si>
  <si>
    <t>2026-09-10T03:40:00.000Z</t>
  </si>
  <si>
    <t>BK-2026-0351</t>
  </si>
  <si>
    <t>DL04NQ1351</t>
  </si>
  <si>
    <t>BK-2026-0352</t>
  </si>
  <si>
    <t>DL05OR1352</t>
  </si>
  <si>
    <t>BK-2026-0353</t>
  </si>
  <si>
    <t>DL06PS1353</t>
  </si>
  <si>
    <t>2026-08-02T04:13:00.000Z</t>
  </si>
  <si>
    <t>2026-08-02T06:43:00.000Z</t>
  </si>
  <si>
    <t>BK-2026-0354</t>
  </si>
  <si>
    <t>DL07QT1354</t>
  </si>
  <si>
    <t>BK-2026-0355</t>
  </si>
  <si>
    <t>DL08RU1355</t>
  </si>
  <si>
    <t>2026-10-05T13:35:00.000Z</t>
  </si>
  <si>
    <t>2026-10-05T14:35:00.000Z</t>
  </si>
  <si>
    <t>BK-2026-0356</t>
  </si>
  <si>
    <t>DL09SV1356</t>
  </si>
  <si>
    <t>BK-2026-0357</t>
  </si>
  <si>
    <t>DL10TW1357</t>
  </si>
  <si>
    <t>BK-2026-0358</t>
  </si>
  <si>
    <t>DL11UX1358</t>
  </si>
  <si>
    <t>2026-08-27T15:08:00.000Z</t>
  </si>
  <si>
    <t>2026-08-27T17:38:00.000Z</t>
  </si>
  <si>
    <t>BK-2026-0359</t>
  </si>
  <si>
    <t>DL12VY1359</t>
  </si>
  <si>
    <t>2026-08-14T06:19:00.000Z</t>
  </si>
  <si>
    <t>2026-08-14T09:19:00.000Z</t>
  </si>
  <si>
    <t>BK-2026-0360</t>
  </si>
  <si>
    <t>DL01WZ1360</t>
  </si>
  <si>
    <t>BK-2026-0361</t>
  </si>
  <si>
    <t>DL02XA1361</t>
  </si>
  <si>
    <t>2026-10-17T17:11:00.000Z</t>
  </si>
  <si>
    <t>BK-2026-0362</t>
  </si>
  <si>
    <t>DL03YB1362</t>
  </si>
  <si>
    <t>2026-10-04T06:52:00.000Z</t>
  </si>
  <si>
    <t>2026-10-04T08:52:00.000Z</t>
  </si>
  <si>
    <t>BK-2026-0363</t>
  </si>
  <si>
    <t>DL04ZC1363</t>
  </si>
  <si>
    <t>BK-2026-0364</t>
  </si>
  <si>
    <t>DL05AD1364</t>
  </si>
  <si>
    <t>BK-2026-0365</t>
  </si>
  <si>
    <t>DL06BE1365</t>
  </si>
  <si>
    <t>2026-08-26T08:25:00.000Z</t>
  </si>
  <si>
    <t>2026-08-26T09:25:00.000Z</t>
  </si>
  <si>
    <t>BK-2026-0366</t>
  </si>
  <si>
    <t>DL07CF1366</t>
  </si>
  <si>
    <t>BK-2026-0367</t>
  </si>
  <si>
    <t>DL08DG1367</t>
  </si>
  <si>
    <t>2026-10-29T03:47:00.000Z</t>
  </si>
  <si>
    <t>2026-10-29T05:47:00.000Z</t>
  </si>
  <si>
    <t>BK-2026-0368</t>
  </si>
  <si>
    <t>DL09EH1368</t>
  </si>
  <si>
    <t>BK-2026-0369</t>
  </si>
  <si>
    <t>DL10FI1369</t>
  </si>
  <si>
    <t>BK-2026-0370</t>
  </si>
  <si>
    <t>DL11GJ1370</t>
  </si>
  <si>
    <t>2026-09-20T05:20:00.000Z</t>
  </si>
  <si>
    <t>2026-09-20T06:20:00.000Z</t>
  </si>
  <si>
    <t>BK-2026-0371</t>
  </si>
  <si>
    <t>DL12HK1371</t>
  </si>
  <si>
    <t>2026-09-07T11:01:00.000Z</t>
  </si>
  <si>
    <t>BK-2026-0372</t>
  </si>
  <si>
    <t>DL01IL1372</t>
  </si>
  <si>
    <t>BK-2026-0373</t>
  </si>
  <si>
    <t>DL02JM1373</t>
  </si>
  <si>
    <t>2026-08-12T05:53:00.000Z</t>
  </si>
  <si>
    <t>2026-08-12T08:23:00.000Z</t>
  </si>
  <si>
    <t>BK-2026-0374</t>
  </si>
  <si>
    <t>DL03KN1374</t>
  </si>
  <si>
    <t>2026-10-28T11:04:00.000Z</t>
  </si>
  <si>
    <t>2026-10-28T14:04:00.000Z</t>
  </si>
  <si>
    <t>BK-2026-0375</t>
  </si>
  <si>
    <t>DL04LO1375</t>
  </si>
  <si>
    <t>2026-10-17T04:15:00.000Z</t>
  </si>
  <si>
    <t>BK-2026-0376</t>
  </si>
  <si>
    <t>DL05MP1376</t>
  </si>
  <si>
    <t>BK-2026-0377</t>
  </si>
  <si>
    <t>DL06NQ1377</t>
  </si>
  <si>
    <t>2026-09-19T11:37:00.000Z</t>
  </si>
  <si>
    <t>2026-09-19T13:37:00.000Z</t>
  </si>
  <si>
    <t>BK-2026-0378</t>
  </si>
  <si>
    <t>DL07OR1378</t>
  </si>
  <si>
    <t>BK-2026-0379</t>
  </si>
  <si>
    <t>DL08PS1379</t>
  </si>
  <si>
    <t>2026-08-24T07:59:00.000Z</t>
  </si>
  <si>
    <t>2026-08-24T10:59:00.000Z</t>
  </si>
  <si>
    <t>BK-2026-0380</t>
  </si>
  <si>
    <t>DL09QT1380</t>
  </si>
  <si>
    <t>BK-2026-0381</t>
  </si>
  <si>
    <t>DL10RU1381</t>
  </si>
  <si>
    <t>BK-2026-0382</t>
  </si>
  <si>
    <t>DL11SV1382</t>
  </si>
  <si>
    <t>2026-10-14T08:32:00.000Z</t>
  </si>
  <si>
    <t>2026-10-14T10:32:00.000Z</t>
  </si>
  <si>
    <t>BK-2026-0383</t>
  </si>
  <si>
    <t>DL12TW1383</t>
  </si>
  <si>
    <t>2026-10-01T13:43:00.000Z</t>
  </si>
  <si>
    <t>2026-10-01T16:13:00.000Z</t>
  </si>
  <si>
    <t>BK-2026-0384</t>
  </si>
  <si>
    <t>DL01UX1384</t>
  </si>
  <si>
    <t>BK-2026-0385</t>
  </si>
  <si>
    <t>DL02VY1385</t>
  </si>
  <si>
    <t>2026-09-05T10:05:00.000Z</t>
  </si>
  <si>
    <t>2026-09-05T11:05:00.000Z</t>
  </si>
  <si>
    <t>BK-2026-0386</t>
  </si>
  <si>
    <t>DL03WZ1386</t>
  </si>
  <si>
    <t>2026-08-23T15:16:00.000Z</t>
  </si>
  <si>
    <t>2026-08-23T16:46:00.000Z</t>
  </si>
  <si>
    <t>BK-2026-0387</t>
  </si>
  <si>
    <t>DL04XA1387</t>
  </si>
  <si>
    <t>BK-2026-0388</t>
  </si>
  <si>
    <t>DL05YB1388</t>
  </si>
  <si>
    <t>BK-2026-0389</t>
  </si>
  <si>
    <t>DL06ZC1389</t>
  </si>
  <si>
    <t>2026-10-13T15:49:00.000Z</t>
  </si>
  <si>
    <t>2026-10-13T18:49:00.000Z</t>
  </si>
  <si>
    <t>BK-2026-0390</t>
  </si>
  <si>
    <t>DL07AD1390</t>
  </si>
  <si>
    <t>BK-2026-0391</t>
  </si>
  <si>
    <t>DL08BE1391</t>
  </si>
  <si>
    <t>2026-09-17T12:11:00.000Z</t>
  </si>
  <si>
    <t>2026-09-17T13:41:00.000Z</t>
  </si>
  <si>
    <t>BK-2026-0392</t>
  </si>
  <si>
    <t>DL09CF1392</t>
  </si>
  <si>
    <t>BK-2026-0393</t>
  </si>
  <si>
    <t>DL10DG1393</t>
  </si>
  <si>
    <t>BK-2026-0394</t>
  </si>
  <si>
    <t>DL11EH1394</t>
  </si>
  <si>
    <t>2026-08-09T12:44:00.000Z</t>
  </si>
  <si>
    <t>2026-08-09T15:44:00.000Z</t>
  </si>
  <si>
    <t>BK-2026-0395</t>
  </si>
  <si>
    <t>DL12FI1395</t>
  </si>
  <si>
    <t>2026-10-25T03:55:00.000Z</t>
  </si>
  <si>
    <t>2026-10-25T04:55:00.000Z</t>
  </si>
  <si>
    <t>BK-2026-0396</t>
  </si>
  <si>
    <t>DL01GJ1396</t>
  </si>
  <si>
    <t>BK-2026-0397</t>
  </si>
  <si>
    <t>DL02HK1397</t>
  </si>
  <si>
    <t>2026-09-29T14:17:00.000Z</t>
  </si>
  <si>
    <t>2026-09-29T16:17:00.000Z</t>
  </si>
  <si>
    <t>BK-2026-0398</t>
  </si>
  <si>
    <t>DL03IL1398</t>
  </si>
  <si>
    <t>2026-09-16T05:28:00.000Z</t>
  </si>
  <si>
    <t>2026-09-16T07:58:00.000Z</t>
  </si>
  <si>
    <t>BK-2026-0399</t>
  </si>
  <si>
    <t>DL04JM1399</t>
  </si>
  <si>
    <t>BK-2026-0400</t>
  </si>
  <si>
    <t>DL05KN1400</t>
  </si>
  <si>
    <t>BK-2026-0401</t>
  </si>
  <si>
    <t>DL06LO1401</t>
  </si>
  <si>
    <t>2026-08-08T06:01:00.000Z</t>
  </si>
  <si>
    <t>2026-08-08T07:31:00.000Z</t>
  </si>
  <si>
    <t>BK-2026-0402</t>
  </si>
  <si>
    <t>DL07MP1402</t>
  </si>
  <si>
    <t>BK-2026-0403</t>
  </si>
  <si>
    <t>DL08NQ1403</t>
  </si>
  <si>
    <t>2026-10-11T18:53:00.000Z</t>
  </si>
  <si>
    <t>BK-2026-0404</t>
  </si>
  <si>
    <t>DL09OR1404</t>
  </si>
  <si>
    <t>BK-2026-0405</t>
  </si>
  <si>
    <t>DL10PS1405</t>
  </si>
  <si>
    <t>BK-2026-0406</t>
  </si>
  <si>
    <t>DL11QT1406</t>
  </si>
  <si>
    <t>2026-09-02T02:56:00.000Z</t>
  </si>
  <si>
    <t>2026-09-02T04:26:00.000Z</t>
  </si>
  <si>
    <t>BK-2026-0407</t>
  </si>
  <si>
    <t>DL12RU1407</t>
  </si>
  <si>
    <t>2026-08-20T08:07:00.000Z</t>
  </si>
  <si>
    <t>2026-08-20T10:07:00.000Z</t>
  </si>
  <si>
    <t>BK-2026-0408</t>
  </si>
  <si>
    <t>DL01SV1408</t>
  </si>
  <si>
    <t>BK-2026-0409</t>
  </si>
  <si>
    <t>DL02TW1409</t>
  </si>
  <si>
    <t>2026-10-23T04:29:00.000Z</t>
  </si>
  <si>
    <t>2026-10-23T07:29:00.000Z</t>
  </si>
  <si>
    <t>BK-2026-0410</t>
  </si>
  <si>
    <t>DL03UX1410</t>
  </si>
  <si>
    <t>2026-10-10T08:40:00.000Z</t>
  </si>
  <si>
    <t>2026-10-10T09:40:00.000Z</t>
  </si>
  <si>
    <t>BK-2026-0411</t>
  </si>
  <si>
    <t>DL04VY1411</t>
  </si>
  <si>
    <t>BK-2026-0412</t>
  </si>
  <si>
    <t>DL05WZ1412</t>
  </si>
  <si>
    <t>BK-2026-0413</t>
  </si>
  <si>
    <t>DL06XA1413</t>
  </si>
  <si>
    <t>2026-09-01T12:43:00.000Z</t>
  </si>
  <si>
    <t>BK-2026-0414</t>
  </si>
  <si>
    <t>DL07YB1414</t>
  </si>
  <si>
    <t>BK-2026-0415</t>
  </si>
  <si>
    <t>DL08ZC1415</t>
  </si>
  <si>
    <t>2026-08-06T05:35:00.000Z</t>
  </si>
  <si>
    <t>2026-08-06T06:35:00.000Z</t>
  </si>
  <si>
    <t>BK-2026-0416</t>
  </si>
  <si>
    <t>DL09AD1416</t>
  </si>
  <si>
    <t>BK-2026-0417</t>
  </si>
  <si>
    <t>DL10BE1417</t>
  </si>
  <si>
    <t>BK-2026-0418</t>
  </si>
  <si>
    <t>DL11CF1418</t>
  </si>
  <si>
    <t>2026-09-26T07:08:00.000Z</t>
  </si>
  <si>
    <t>2026-09-26T09:38:00.000Z</t>
  </si>
  <si>
    <t>BK-2026-0419</t>
  </si>
  <si>
    <t>DL12DG1419</t>
  </si>
  <si>
    <t>2026-09-13T12:19:00.000Z</t>
  </si>
  <si>
    <t>2026-09-13T15:19:00.000Z</t>
  </si>
  <si>
    <t>BK-2026-0420</t>
  </si>
  <si>
    <t>DL01EH1420</t>
  </si>
  <si>
    <t>BK-2026-0421</t>
  </si>
  <si>
    <t>DL02FI1421</t>
  </si>
  <si>
    <t>2026-08-18T09:11:00.000Z</t>
  </si>
  <si>
    <t>BK-2026-0422</t>
  </si>
  <si>
    <t>DL03GJ1422</t>
  </si>
  <si>
    <t>2026-08-05T12:52:00.000Z</t>
  </si>
  <si>
    <t>2026-08-05T14:52:00.000Z</t>
  </si>
  <si>
    <t>BK-2026-0423</t>
  </si>
  <si>
    <t>DL04HK1423</t>
  </si>
  <si>
    <t>BK-2026-0424</t>
  </si>
  <si>
    <t>DL05IL1424</t>
  </si>
  <si>
    <t>BK-2026-0425</t>
  </si>
  <si>
    <t>DL06JM1425</t>
  </si>
  <si>
    <t>2026-09-25T14:25:00.000Z</t>
  </si>
  <si>
    <t>2026-09-25T15:25:00.000Z</t>
  </si>
  <si>
    <t>BK-2026-0426</t>
  </si>
  <si>
    <t>DL07KN1426</t>
  </si>
  <si>
    <t>BK-2026-0427</t>
  </si>
  <si>
    <t>DL08LO1427</t>
  </si>
  <si>
    <t>2026-08-30T09:47:00.000Z</t>
  </si>
  <si>
    <t>2026-08-30T11:47:00.000Z</t>
  </si>
  <si>
    <t>BK-2026-0428</t>
  </si>
  <si>
    <t>DL09MP1428</t>
  </si>
  <si>
    <t>BK-2026-0429</t>
  </si>
  <si>
    <t>DL10NQ1429</t>
  </si>
  <si>
    <t>BK-2026-0430</t>
  </si>
  <si>
    <t>DL11OR1430</t>
  </si>
  <si>
    <t>2026-10-20T11:20:00.000Z</t>
  </si>
  <si>
    <t>2026-10-20T12:20:00.000Z</t>
  </si>
  <si>
    <t>BK-2026-0431</t>
  </si>
  <si>
    <t>DL12PS1431</t>
  </si>
  <si>
    <t>2026-10-07T17:01:00.000Z</t>
  </si>
  <si>
    <t>BK-2026-0432</t>
  </si>
  <si>
    <t>DL01QT1432</t>
  </si>
  <si>
    <t>BK-2026-0433</t>
  </si>
  <si>
    <t>DL02RU1433</t>
  </si>
  <si>
    <t>2026-09-11T11:53:00.000Z</t>
  </si>
  <si>
    <t>2026-09-11T14:23:00.000Z</t>
  </si>
  <si>
    <t>BK-2026-0434</t>
  </si>
  <si>
    <t>DL03SV1434</t>
  </si>
  <si>
    <t>2026-08-29T03:04:00.000Z</t>
  </si>
  <si>
    <t>2026-08-29T06:04:00.000Z</t>
  </si>
  <si>
    <t>BK-2026-0435</t>
  </si>
  <si>
    <t>DL04TW1435</t>
  </si>
  <si>
    <t>BK-2026-0436</t>
  </si>
  <si>
    <t>DL05UX1436</t>
  </si>
  <si>
    <t>BK-2026-0437</t>
  </si>
  <si>
    <t>DL06VY1437</t>
  </si>
  <si>
    <t>2026-10-19T03:37:00.000Z</t>
  </si>
  <si>
    <t>2026-10-19T05:37:00.000Z</t>
  </si>
  <si>
    <t>BK-2026-0438</t>
  </si>
  <si>
    <t>DL07WZ1438</t>
  </si>
  <si>
    <t>BK-2026-0439</t>
  </si>
  <si>
    <t>DL08XA1439</t>
  </si>
  <si>
    <t>2026-09-23T13:59:00.000Z</t>
  </si>
  <si>
    <t>2026-09-23T16:59:00.000Z</t>
  </si>
  <si>
    <t>BK-2026-0440</t>
  </si>
  <si>
    <t>DL09YB1440</t>
  </si>
  <si>
    <t>BK-2026-0441</t>
  </si>
  <si>
    <t>DL10ZC1441</t>
  </si>
  <si>
    <t>BK-2026-0442</t>
  </si>
  <si>
    <t>DL11AD1442</t>
  </si>
  <si>
    <t>2026-08-15T14:32:00.000Z</t>
  </si>
  <si>
    <t>2026-08-15T16:32:00.000Z</t>
  </si>
  <si>
    <t>BK-2026-0443</t>
  </si>
  <si>
    <t>DL12BE1443</t>
  </si>
  <si>
    <t>2026-08-02T05:43:00.000Z</t>
  </si>
  <si>
    <t>2026-08-02T08:13:00.000Z</t>
  </si>
  <si>
    <t>BK-2026-0444</t>
  </si>
  <si>
    <t>DL01CF1444</t>
  </si>
  <si>
    <t>BK-2026-0445</t>
  </si>
  <si>
    <t>DL02DG1445</t>
  </si>
  <si>
    <t>2026-10-05T16:05:00.000Z</t>
  </si>
  <si>
    <t>2026-10-05T17:05:00.000Z</t>
  </si>
  <si>
    <t>BK-2026-0446</t>
  </si>
  <si>
    <t>DL03EH1446</t>
  </si>
  <si>
    <t>2026-09-22T07:16:00.000Z</t>
  </si>
  <si>
    <t>2026-09-22T08:46:00.000Z</t>
  </si>
  <si>
    <t>BK-2026-0447</t>
  </si>
  <si>
    <t>DL04FI1447</t>
  </si>
  <si>
    <t>BK-2026-0448</t>
  </si>
  <si>
    <t>DL05GJ1448</t>
  </si>
  <si>
    <t>BK-2026-0449</t>
  </si>
  <si>
    <t>DL06HK1449</t>
  </si>
  <si>
    <t>2026-08-14T07:49:00.000Z</t>
  </si>
  <si>
    <t>2026-08-14T10:49:00.000Z</t>
  </si>
  <si>
    <t>BK-2026-0450</t>
  </si>
  <si>
    <t>DL07IL1450</t>
  </si>
  <si>
    <t>BK-2026-0451</t>
  </si>
  <si>
    <t>DL08JM1451</t>
  </si>
  <si>
    <t>2026-10-17T04:11:00.000Z</t>
  </si>
  <si>
    <t>2026-10-17T05:41:00.000Z</t>
  </si>
  <si>
    <t>BK-2026-0452</t>
  </si>
  <si>
    <t>DL09KN1452</t>
  </si>
  <si>
    <t>BK-2026-0453</t>
  </si>
  <si>
    <t>DL10LO1453</t>
  </si>
  <si>
    <t>BK-2026-0454</t>
  </si>
  <si>
    <t>DL11MP1454</t>
  </si>
  <si>
    <t>2026-09-08T04:44:00.000Z</t>
  </si>
  <si>
    <t>2026-09-08T07:44:00.000Z</t>
  </si>
  <si>
    <t>BK-2026-0455</t>
  </si>
  <si>
    <t>DL12NQ1455</t>
  </si>
  <si>
    <t>2026-08-26T09:55:00.000Z</t>
  </si>
  <si>
    <t>2026-08-26T10:55:00.000Z</t>
  </si>
  <si>
    <t>BK-2026-0456</t>
  </si>
  <si>
    <t>DL01OR1456</t>
  </si>
  <si>
    <t>BK-2026-0457</t>
  </si>
  <si>
    <t>DL02PS1457</t>
  </si>
  <si>
    <t>2026-10-29T06:17:00.000Z</t>
  </si>
  <si>
    <t>2026-10-29T08:17:00.000Z</t>
  </si>
  <si>
    <t>BK-2026-0458</t>
  </si>
  <si>
    <t>DL03QT1458</t>
  </si>
  <si>
    <t>2026-10-16T11:28:00.000Z</t>
  </si>
  <si>
    <t>2026-10-16T13:58:00.000Z</t>
  </si>
  <si>
    <t>BK-2026-0459</t>
  </si>
  <si>
    <t>DL04RU1459</t>
  </si>
  <si>
    <t>BK-2026-0460</t>
  </si>
  <si>
    <t>DL05SV1460</t>
  </si>
  <si>
    <t>BK-2026-0461</t>
  </si>
  <si>
    <t>DL06TW1461</t>
  </si>
  <si>
    <t>2026-09-07T12:01:00.000Z</t>
  </si>
  <si>
    <t>2026-09-07T13:31:00.000Z</t>
  </si>
  <si>
    <t>BK-2026-0462</t>
  </si>
  <si>
    <t>DL07UX1462</t>
  </si>
  <si>
    <t>BK-2026-0463</t>
  </si>
  <si>
    <t>DL08VY1463</t>
  </si>
  <si>
    <t>2026-08-12T10:53:00.000Z</t>
  </si>
  <si>
    <t>BK-2026-0464</t>
  </si>
  <si>
    <t>DL09WZ1464</t>
  </si>
  <si>
    <t>BK-2026-0465</t>
  </si>
  <si>
    <t>DL10XA1465</t>
  </si>
  <si>
    <t>BK-2026-0466</t>
  </si>
  <si>
    <t>DL11YB1466</t>
  </si>
  <si>
    <t>2026-10-02T08:56:00.000Z</t>
  </si>
  <si>
    <t>2026-10-02T10:26:00.000Z</t>
  </si>
  <si>
    <t>BK-2026-0467</t>
  </si>
  <si>
    <t>DL12ZC1467</t>
  </si>
  <si>
    <t>2026-09-19T14:07:00.000Z</t>
  </si>
  <si>
    <t>2026-09-19T16:07:00.000Z</t>
  </si>
  <si>
    <t>BK-2026-0468</t>
  </si>
  <si>
    <t>DL01AD1468</t>
  </si>
  <si>
    <t>BK-2026-0469</t>
  </si>
  <si>
    <t>DL02BE1469</t>
  </si>
  <si>
    <t>2026-08-24T10:29:00.000Z</t>
  </si>
  <si>
    <t>2026-08-24T13:29:00.000Z</t>
  </si>
  <si>
    <t>BK-2026-0470</t>
  </si>
  <si>
    <t>DL03CF1470</t>
  </si>
  <si>
    <t>2026-08-11T14:40:00.000Z</t>
  </si>
  <si>
    <t>2026-08-11T15:40:00.000Z</t>
  </si>
  <si>
    <t>BK-2026-0471</t>
  </si>
  <si>
    <t>DL04DG1471</t>
  </si>
  <si>
    <t>BK-2026-0472</t>
  </si>
  <si>
    <t>DL05EH1472</t>
  </si>
  <si>
    <t>BK-2026-0473</t>
  </si>
  <si>
    <t>DL06FI1473</t>
  </si>
  <si>
    <t>2026-10-01T18:43:00.000Z</t>
  </si>
  <si>
    <t>BK-2026-0474</t>
  </si>
  <si>
    <t>DL07GJ1474</t>
  </si>
  <si>
    <t>BK-2026-0475</t>
  </si>
  <si>
    <t>DL08HK1475</t>
  </si>
  <si>
    <t>2026-09-05T11:35:00.000Z</t>
  </si>
  <si>
    <t>2026-09-05T12:35:00.000Z</t>
  </si>
  <si>
    <t>BK-2026-0476</t>
  </si>
  <si>
    <t>DL09IL1476</t>
  </si>
  <si>
    <t>BK-2026-0477</t>
  </si>
  <si>
    <t>DL10JM1477</t>
  </si>
  <si>
    <t>BK-2026-0478</t>
  </si>
  <si>
    <t>DL11KN1478</t>
  </si>
  <si>
    <t>2026-10-26T13:08:00.000Z</t>
  </si>
  <si>
    <t>2026-10-26T15:38:00.000Z</t>
  </si>
  <si>
    <t>BK-2026-0479</t>
  </si>
  <si>
    <t>DL12LO1479</t>
  </si>
  <si>
    <t>2026-10-13T04:19:00.000Z</t>
  </si>
  <si>
    <t>2026-10-13T07:19:00.000Z</t>
  </si>
  <si>
    <t>BK-2026-0480</t>
  </si>
  <si>
    <t>DL01MP1480</t>
  </si>
  <si>
    <t>BK-2026-0481</t>
  </si>
  <si>
    <t>DL02NQ1481</t>
  </si>
  <si>
    <t>2026-09-17T15:11:00.000Z</t>
  </si>
  <si>
    <t>BK-2026-0482</t>
  </si>
  <si>
    <t>DL03OR1482</t>
  </si>
  <si>
    <t>2026-09-04T04:52:00.000Z</t>
  </si>
  <si>
    <t>2026-09-04T06:52:00.000Z</t>
  </si>
  <si>
    <t>BK-2026-0483</t>
  </si>
  <si>
    <t>DL04PS1483</t>
  </si>
  <si>
    <t>BK-2026-0484</t>
  </si>
  <si>
    <t>DL05QT1484</t>
  </si>
  <si>
    <t>BK-2026-0485</t>
  </si>
  <si>
    <t>DL06RU1485</t>
  </si>
  <si>
    <t>2026-10-25T06:25:00.000Z</t>
  </si>
  <si>
    <t>2026-10-25T07:25:00.000Z</t>
  </si>
  <si>
    <t>BK-2026-0486</t>
  </si>
  <si>
    <t>DL07SV1486</t>
  </si>
  <si>
    <t>BK-2026-0487</t>
  </si>
  <si>
    <t>DL08TW1487</t>
  </si>
  <si>
    <t>2026-09-29T15:47:00.000Z</t>
  </si>
  <si>
    <t>2026-09-29T17:47:00.000Z</t>
  </si>
  <si>
    <t>BK-2026-0488</t>
  </si>
  <si>
    <t>DL09UX1488</t>
  </si>
  <si>
    <t>BK-2026-0489</t>
  </si>
  <si>
    <t>DL10VY1489</t>
  </si>
  <si>
    <t>BK-2026-0490</t>
  </si>
  <si>
    <t>DL11WZ1490</t>
  </si>
  <si>
    <t>2026-08-21T03:20:00.000Z</t>
  </si>
  <si>
    <t>2026-08-21T04:20:00.000Z</t>
  </si>
  <si>
    <t>BK-2026-0491</t>
  </si>
  <si>
    <t>DL12XA1491</t>
  </si>
  <si>
    <t>2026-08-08T09:01:00.000Z</t>
  </si>
  <si>
    <t>BK-2026-0492</t>
  </si>
  <si>
    <t>DL01YB1492</t>
  </si>
  <si>
    <t>BK-2026-0493</t>
  </si>
  <si>
    <t>DL02ZC1493</t>
  </si>
  <si>
    <t>2026-10-11T03:53:00.000Z</t>
  </si>
  <si>
    <t>2026-10-11T06:23:00.000Z</t>
  </si>
  <si>
    <t>BK-2026-0494</t>
  </si>
  <si>
    <t>DL03AD1494</t>
  </si>
  <si>
    <t>2026-09-28T09:04:00.000Z</t>
  </si>
  <si>
    <t>2026-09-28T12:04:00.000Z</t>
  </si>
  <si>
    <t>BK-2026-0495</t>
  </si>
  <si>
    <t>DL04BE1495</t>
  </si>
  <si>
    <t>BK-2026-0496</t>
  </si>
  <si>
    <t>DL05CF1496</t>
  </si>
  <si>
    <t>BK-2026-0497</t>
  </si>
  <si>
    <t>DL06DG1497</t>
  </si>
  <si>
    <t>2026-08-20T09:37:00.000Z</t>
  </si>
  <si>
    <t>2026-08-20T11:37:00.000Z</t>
  </si>
  <si>
    <t>BK-2026-0498</t>
  </si>
  <si>
    <t>DL07EH1498</t>
  </si>
  <si>
    <t>BK-2026-0499</t>
  </si>
  <si>
    <t>DL08FI1499</t>
  </si>
  <si>
    <t>2026-10-23T05:59:00.000Z</t>
  </si>
  <si>
    <t>2026-10-23T08:59:00.000Z</t>
  </si>
  <si>
    <t>BK-2026-0500</t>
  </si>
  <si>
    <t>DL09GJ1500</t>
  </si>
  <si>
    <t>Name</t>
  </si>
  <si>
    <t>Email</t>
  </si>
  <si>
    <t>Phone</t>
  </si>
  <si>
    <t>Role</t>
  </si>
  <si>
    <t>Reward_Points</t>
  </si>
  <si>
    <t>Created_At</t>
  </si>
  <si>
    <t>Aarav Reddy</t>
  </si>
  <si>
    <t>aarav.reddy1@parkpulse.io</t>
  </si>
  <si>
    <t>+91 9881209174</t>
  </si>
  <si>
    <t>ADMIN</t>
  </si>
  <si>
    <t>2026-07-31T16:26:07.391Z</t>
  </si>
  <si>
    <t>Vivaan Iyer</t>
  </si>
  <si>
    <t>vivaan.iyer2@parkpulse.io</t>
  </si>
  <si>
    <t>+91 9820407017</t>
  </si>
  <si>
    <t>GATEKEEPER</t>
  </si>
  <si>
    <t>2026-07-30T16:26:07.396Z</t>
  </si>
  <si>
    <t>Aditya Chopra</t>
  </si>
  <si>
    <t>aditya.chopra3@parkpulse.io</t>
  </si>
  <si>
    <t>+91 9898824790</t>
  </si>
  <si>
    <t>USER</t>
  </si>
  <si>
    <t>2026-07-29T16:26:07.396Z</t>
  </si>
  <si>
    <t>Vihaan Deshmukh</t>
  </si>
  <si>
    <t>vihaan.deshmukh4@parkpulse.io</t>
  </si>
  <si>
    <t>+91 9886525195</t>
  </si>
  <si>
    <t>2026-07-28T16:26:07.396Z</t>
  </si>
  <si>
    <t>Arjun Kapoor</t>
  </si>
  <si>
    <t>arjun.kapoor5@parkpulse.io</t>
  </si>
  <si>
    <t>+91 9819459878</t>
  </si>
  <si>
    <t>2026-07-27T16:26:07.396Z</t>
  </si>
  <si>
    <t>Sai Sen</t>
  </si>
  <si>
    <t>sai.sen6@parkpulse.io</t>
  </si>
  <si>
    <t>+91 9817127158</t>
  </si>
  <si>
    <t>2026-07-26T16:26:07.396Z</t>
  </si>
  <si>
    <t>Reyansh Verma</t>
  </si>
  <si>
    <t>reyansh.verma7@parkpulse.io</t>
  </si>
  <si>
    <t>+91 9885257801</t>
  </si>
  <si>
    <t>2026-07-25T16:26:07.396Z</t>
  </si>
  <si>
    <t>Ayaan Mehta</t>
  </si>
  <si>
    <t>ayaan.mehta8@parkpulse.io</t>
  </si>
  <si>
    <t>+91 9814225451</t>
  </si>
  <si>
    <t>2026-07-24T16:26:07.396Z</t>
  </si>
  <si>
    <t>Krishna Gupta</t>
  </si>
  <si>
    <t>krishna.gupta9@parkpulse.io</t>
  </si>
  <si>
    <t>+91 9840405546</t>
  </si>
  <si>
    <t>2026-07-23T16:26:07.396Z</t>
  </si>
  <si>
    <t>Ishaan Malhotra</t>
  </si>
  <si>
    <t>ishaan.malhotra10@parkpulse.io</t>
  </si>
  <si>
    <t>+91 9888326723</t>
  </si>
  <si>
    <t>2026-07-22T16:26:07.396Z</t>
  </si>
  <si>
    <t>Shaurya Joshi</t>
  </si>
  <si>
    <t>shaurya.joshi11@parkpulse.io</t>
  </si>
  <si>
    <t>+91 9863549956</t>
  </si>
  <si>
    <t>2026-07-21T16:26:07.396Z</t>
  </si>
  <si>
    <t>Ananya Das</t>
  </si>
  <si>
    <t>ananya.das12@parkpulse.io</t>
  </si>
  <si>
    <t>+91 9827632329</t>
  </si>
  <si>
    <t>2026-07-20T16:26:07.396Z</t>
  </si>
  <si>
    <t>Diya Kumar</t>
  </si>
  <si>
    <t>diya.kumar13@parkpulse.io</t>
  </si>
  <si>
    <t>+91 9884211325</t>
  </si>
  <si>
    <t>2026-07-19T16:26:07.396Z</t>
  </si>
  <si>
    <t>Rhea Patel</t>
  </si>
  <si>
    <t>rhea.patel14@parkpulse.io</t>
  </si>
  <si>
    <t>+91 9818571827</t>
  </si>
  <si>
    <t>2026-07-18T16:26:07.396Z</t>
  </si>
  <si>
    <t>Pari Nair</t>
  </si>
  <si>
    <t>pari.nair15@parkpulse.io</t>
  </si>
  <si>
    <t>+91 9812726414</t>
  </si>
  <si>
    <t>2026-07-17T16:26:07.396Z</t>
  </si>
  <si>
    <t>Anushka Singh</t>
  </si>
  <si>
    <t>anushka.singh16@parkpulse.io</t>
  </si>
  <si>
    <t>+91 9871924924</t>
  </si>
  <si>
    <t>2026-07-16T16:26:07.396Z</t>
  </si>
  <si>
    <t>Aadhya Bhatia</t>
  </si>
  <si>
    <t>aadhya.bhatia17@parkpulse.io</t>
  </si>
  <si>
    <t>+91 9862670622</t>
  </si>
  <si>
    <t>2026-07-15T16:26:07.396Z</t>
  </si>
  <si>
    <t>Isha Kulkarni</t>
  </si>
  <si>
    <t>isha.kulkarni18@parkpulse.io</t>
  </si>
  <si>
    <t>+91 9811413128</t>
  </si>
  <si>
    <t>2026-07-14T16:26:07.396Z</t>
  </si>
  <si>
    <t>Myra Roy</t>
  </si>
  <si>
    <t>myra.roy19@parkpulse.io</t>
  </si>
  <si>
    <t>+91 9874585883</t>
  </si>
  <si>
    <t>2026-07-13T16:26:07.396Z</t>
  </si>
  <si>
    <t>Tara Sharma</t>
  </si>
  <si>
    <t>tara.sharma20@parkpulse.io</t>
  </si>
  <si>
    <t>+91 9845563979</t>
  </si>
  <si>
    <t>2026-07-12T16:26:07.396Z</t>
  </si>
  <si>
    <t>Alex Reddy</t>
  </si>
  <si>
    <t>alex.reddy21@parkpulse.io</t>
  </si>
  <si>
    <t>+91 9841264357</t>
  </si>
  <si>
    <t>2026-07-11T16:26:07.396Z</t>
  </si>
  <si>
    <t>Sarah Iyer</t>
  </si>
  <si>
    <t>sarah.iyer22@parkpulse.io</t>
  </si>
  <si>
    <t>+91 9826657102</t>
  </si>
  <si>
    <t>2026-07-10T16:26:07.396Z</t>
  </si>
  <si>
    <t>John Chopra</t>
  </si>
  <si>
    <t>john.chopra23@parkpulse.io</t>
  </si>
  <si>
    <t>+91 9823054628</t>
  </si>
  <si>
    <t>2026-07-09T16:26:07.396Z</t>
  </si>
  <si>
    <t>Elena Deshmukh</t>
  </si>
  <si>
    <t>elena.deshmukh24@parkpulse.io</t>
  </si>
  <si>
    <t>+91 9875944684</t>
  </si>
  <si>
    <t>2026-07-08T16:26:07.396Z</t>
  </si>
  <si>
    <t>Michael Kapoor</t>
  </si>
  <si>
    <t>michael.kapoor25@parkpulse.io</t>
  </si>
  <si>
    <t>+91 9849057519</t>
  </si>
  <si>
    <t>2026-07-07T16:26:07.396Z</t>
  </si>
  <si>
    <t>Priya Sen</t>
  </si>
  <si>
    <t>priya.sen26@parkpulse.io</t>
  </si>
  <si>
    <t>+91 9878971128</t>
  </si>
  <si>
    <t>2026-07-06T16:26:07.396Z</t>
  </si>
  <si>
    <t>Rohit Verma</t>
  </si>
  <si>
    <t>rohit.verma27@parkpulse.io</t>
  </si>
  <si>
    <t>+91 9882890960</t>
  </si>
  <si>
    <t>2026-07-05T16:26:07.396Z</t>
  </si>
  <si>
    <t>Siddharth Mehta</t>
  </si>
  <si>
    <t>siddharth.mehta28@parkpulse.io</t>
  </si>
  <si>
    <t>+91 9866814982</t>
  </si>
  <si>
    <t>2026-07-04T16:26:07.396Z</t>
  </si>
  <si>
    <t>Neha Gupta</t>
  </si>
  <si>
    <t>neha.gupta29@parkpulse.io</t>
  </si>
  <si>
    <t>+91 9844458643</t>
  </si>
  <si>
    <t>2026-07-03T16:26:07.396Z</t>
  </si>
  <si>
    <t>Kavita Malhotra</t>
  </si>
  <si>
    <t>kavita.malhotra30@parkpulse.io</t>
  </si>
  <si>
    <t>+91 9827367778</t>
  </si>
  <si>
    <t>2026-07-02T16:26:07.396Z</t>
  </si>
  <si>
    <t>Aarav Joshi</t>
  </si>
  <si>
    <t>aarav.joshi31@parkpulse.io</t>
  </si>
  <si>
    <t>+91 9818076148</t>
  </si>
  <si>
    <t>2026-07-01T16:26:07.396Z</t>
  </si>
  <si>
    <t>Vivaan Das</t>
  </si>
  <si>
    <t>vivaan.das32@parkpulse.io</t>
  </si>
  <si>
    <t>+91 9889794516</t>
  </si>
  <si>
    <t>2026-06-30T16:26:07.396Z</t>
  </si>
  <si>
    <t>Aditya Kumar</t>
  </si>
  <si>
    <t>aditya.kumar33@parkpulse.io</t>
  </si>
  <si>
    <t>+91 9870157658</t>
  </si>
  <si>
    <t>2026-06-29T16:26:07.396Z</t>
  </si>
  <si>
    <t>Vihaan Patel</t>
  </si>
  <si>
    <t>vihaan.patel34@parkpulse.io</t>
  </si>
  <si>
    <t>+91 9869230672</t>
  </si>
  <si>
    <t>2026-06-28T16:26:07.396Z</t>
  </si>
  <si>
    <t>Arjun Nair</t>
  </si>
  <si>
    <t>arjun.nair35@parkpulse.io</t>
  </si>
  <si>
    <t>+91 9848809045</t>
  </si>
  <si>
    <t>2026-06-27T16:26:07.396Z</t>
  </si>
  <si>
    <t>Sai Singh</t>
  </si>
  <si>
    <t>sai.singh36@parkpulse.io</t>
  </si>
  <si>
    <t>+91 9839886160</t>
  </si>
  <si>
    <t>2026-06-26T16:26:07.396Z</t>
  </si>
  <si>
    <t>Reyansh Bhatia</t>
  </si>
  <si>
    <t>reyansh.bhatia37@parkpulse.io</t>
  </si>
  <si>
    <t>+91 9861299126</t>
  </si>
  <si>
    <t>2026-06-25T16:26:07.396Z</t>
  </si>
  <si>
    <t>Ayaan Kulkarni</t>
  </si>
  <si>
    <t>ayaan.kulkarni38@parkpulse.io</t>
  </si>
  <si>
    <t>+91 9885365742</t>
  </si>
  <si>
    <t>2026-06-24T16:26:07.396Z</t>
  </si>
  <si>
    <t>Krishna Roy</t>
  </si>
  <si>
    <t>krishna.roy39@parkpulse.io</t>
  </si>
  <si>
    <t>+91 9815465347</t>
  </si>
  <si>
    <t>2026-06-23T16:26:07.396Z</t>
  </si>
  <si>
    <t>Ishaan Sharma</t>
  </si>
  <si>
    <t>ishaan.sharma40@parkpulse.io</t>
  </si>
  <si>
    <t>+91 9848863721</t>
  </si>
  <si>
    <t>2026-06-22T16:26:07.396Z</t>
  </si>
  <si>
    <t>Shaurya Reddy</t>
  </si>
  <si>
    <t>shaurya.reddy41@parkpulse.io</t>
  </si>
  <si>
    <t>+91 9822134110</t>
  </si>
  <si>
    <t>2026-06-21T16:26:07.396Z</t>
  </si>
  <si>
    <t>Ananya Iyer</t>
  </si>
  <si>
    <t>ananya.iyer42@parkpulse.io</t>
  </si>
  <si>
    <t>+91 9883184452</t>
  </si>
  <si>
    <t>2026-06-20T16:26:07.396Z</t>
  </si>
  <si>
    <t>Diya Chopra</t>
  </si>
  <si>
    <t>diya.chopra43@parkpulse.io</t>
  </si>
  <si>
    <t>+91 9852327716</t>
  </si>
  <si>
    <t>2026-06-19T16:26:07.396Z</t>
  </si>
  <si>
    <t>Rhea Deshmukh</t>
  </si>
  <si>
    <t>rhea.deshmukh44@parkpulse.io</t>
  </si>
  <si>
    <t>+91 9852894594</t>
  </si>
  <si>
    <t>2026-06-18T16:26:07.396Z</t>
  </si>
  <si>
    <t>Pari Kapoor</t>
  </si>
  <si>
    <t>pari.kapoor45@parkpulse.io</t>
  </si>
  <si>
    <t>+91 9873092525</t>
  </si>
  <si>
    <t>2026-06-17T16:26:07.396Z</t>
  </si>
  <si>
    <t>Anushka Sen</t>
  </si>
  <si>
    <t>anushka.sen46@parkpulse.io</t>
  </si>
  <si>
    <t>+91 9842028174</t>
  </si>
  <si>
    <t>2026-06-16T16:26:07.396Z</t>
  </si>
  <si>
    <t>Aadhya Verma</t>
  </si>
  <si>
    <t>aadhya.verma47@parkpulse.io</t>
  </si>
  <si>
    <t>+91 9874485679</t>
  </si>
  <si>
    <t>2026-06-15T16:26:07.396Z</t>
  </si>
  <si>
    <t>Isha Mehta</t>
  </si>
  <si>
    <t>isha.mehta48@parkpulse.io</t>
  </si>
  <si>
    <t>+91 9829914715</t>
  </si>
  <si>
    <t>2026-06-14T16:26:07.396Z</t>
  </si>
  <si>
    <t>Myra Gupta</t>
  </si>
  <si>
    <t>myra.gupta49@parkpulse.io</t>
  </si>
  <si>
    <t>+91 9857856613</t>
  </si>
  <si>
    <t>2026-06-13T16:26:07.396Z</t>
  </si>
  <si>
    <t>Tara Malhotra</t>
  </si>
  <si>
    <t>tara.malhotra50@parkpulse.io</t>
  </si>
  <si>
    <t>+91 9884768906</t>
  </si>
  <si>
    <t>2026-06-12T16:26:07.396Z</t>
  </si>
  <si>
    <t>Alex Joshi</t>
  </si>
  <si>
    <t>alex.joshi51@parkpulse.io</t>
  </si>
  <si>
    <t>+91 9839507304</t>
  </si>
  <si>
    <t>2026-06-11T16:26:07.396Z</t>
  </si>
  <si>
    <t>Sarah Das</t>
  </si>
  <si>
    <t>sarah.das52@parkpulse.io</t>
  </si>
  <si>
    <t>+91 9891378935</t>
  </si>
  <si>
    <t>2026-06-10T16:26:07.396Z</t>
  </si>
  <si>
    <t>John Kumar</t>
  </si>
  <si>
    <t>john.kumar53@parkpulse.io</t>
  </si>
  <si>
    <t>+91 9886438794</t>
  </si>
  <si>
    <t>2026-06-09T16:26:07.396Z</t>
  </si>
  <si>
    <t>Elena Patel</t>
  </si>
  <si>
    <t>elena.patel54@parkpulse.io</t>
  </si>
  <si>
    <t>+91 9850308823</t>
  </si>
  <si>
    <t>2026-06-08T16:26:07.396Z</t>
  </si>
  <si>
    <t>Michael Nair</t>
  </si>
  <si>
    <t>michael.nair55@parkpulse.io</t>
  </si>
  <si>
    <t>+91 9824598437</t>
  </si>
  <si>
    <t>2026-06-07T16:26:07.396Z</t>
  </si>
  <si>
    <t>Priya Singh</t>
  </si>
  <si>
    <t>priya.singh56@parkpulse.io</t>
  </si>
  <si>
    <t>+91 9813859178</t>
  </si>
  <si>
    <t>2026-06-06T16:26:07.396Z</t>
  </si>
  <si>
    <t>Rohit Bhatia</t>
  </si>
  <si>
    <t>rohit.bhatia57@parkpulse.io</t>
  </si>
  <si>
    <t>+91 9858946411</t>
  </si>
  <si>
    <t>2026-06-05T16:26:07.396Z</t>
  </si>
  <si>
    <t>Siddharth Kulkarni</t>
  </si>
  <si>
    <t>siddharth.kulkarni58@parkpulse.io</t>
  </si>
  <si>
    <t>+91 9865719498</t>
  </si>
  <si>
    <t>2026-06-04T16:26:07.396Z</t>
  </si>
  <si>
    <t>Neha Roy</t>
  </si>
  <si>
    <t>neha.roy59@parkpulse.io</t>
  </si>
  <si>
    <t>+91 9899928301</t>
  </si>
  <si>
    <t>2026-06-03T16:26:07.396Z</t>
  </si>
  <si>
    <t>Kavita Sharma</t>
  </si>
  <si>
    <t>kavita.sharma60@parkpulse.io</t>
  </si>
  <si>
    <t>+91 9850725468</t>
  </si>
  <si>
    <t>2026-06-02T16:26:07.396Z</t>
  </si>
  <si>
    <t>aarav.reddy61@parkpulse.io</t>
  </si>
  <si>
    <t>+91 9889570695</t>
  </si>
  <si>
    <t>2026-06-01T16:26:07.396Z</t>
  </si>
  <si>
    <t>vivaan.iyer62@parkpulse.io</t>
  </si>
  <si>
    <t>+91 9876135610</t>
  </si>
  <si>
    <t>2026-05-31T16:26:07.396Z</t>
  </si>
  <si>
    <t>aditya.chopra63@parkpulse.io</t>
  </si>
  <si>
    <t>+91 9877784534</t>
  </si>
  <si>
    <t>2026-05-30T16:26:07.396Z</t>
  </si>
  <si>
    <t>vihaan.deshmukh64@parkpulse.io</t>
  </si>
  <si>
    <t>+91 9859775554</t>
  </si>
  <si>
    <t>2026-05-29T16:26:07.396Z</t>
  </si>
  <si>
    <t>arjun.kapoor65@parkpulse.io</t>
  </si>
  <si>
    <t>+91 9820522696</t>
  </si>
  <si>
    <t>2026-05-28T16:26:07.396Z</t>
  </si>
  <si>
    <t>sai.sen66@parkpulse.io</t>
  </si>
  <si>
    <t>+91 9883463716</t>
  </si>
  <si>
    <t>2026-05-27T16:26:07.396Z</t>
  </si>
  <si>
    <t>reyansh.verma67@parkpulse.io</t>
  </si>
  <si>
    <t>+91 9855066143</t>
  </si>
  <si>
    <t>2026-05-26T16:26:07.396Z</t>
  </si>
  <si>
    <t>ayaan.mehta68@parkpulse.io</t>
  </si>
  <si>
    <t>+91 9875638091</t>
  </si>
  <si>
    <t>2026-05-25T16:26:07.396Z</t>
  </si>
  <si>
    <t>krishna.gupta69@parkpulse.io</t>
  </si>
  <si>
    <t>+91 9818506607</t>
  </si>
  <si>
    <t>2026-05-24T16:26:07.396Z</t>
  </si>
  <si>
    <t>ishaan.malhotra70@parkpulse.io</t>
  </si>
  <si>
    <t>+91 9899695478</t>
  </si>
  <si>
    <t>2026-05-23T16:26:07.396Z</t>
  </si>
  <si>
    <t>shaurya.joshi71@parkpulse.io</t>
  </si>
  <si>
    <t>+91 9898814820</t>
  </si>
  <si>
    <t>2026-05-22T16:26:07.396Z</t>
  </si>
  <si>
    <t>ananya.das72@parkpulse.io</t>
  </si>
  <si>
    <t>+91 9837850502</t>
  </si>
  <si>
    <t>2026-05-21T16:26:07.396Z</t>
  </si>
  <si>
    <t>diya.kumar73@parkpulse.io</t>
  </si>
  <si>
    <t>+91 9844506297</t>
  </si>
  <si>
    <t>2026-05-20T16:26:07.396Z</t>
  </si>
  <si>
    <t>rhea.patel74@parkpulse.io</t>
  </si>
  <si>
    <t>+91 9848161042</t>
  </si>
  <si>
    <t>2026-05-19T16:26:07.396Z</t>
  </si>
  <si>
    <t>pari.nair75@parkpulse.io</t>
  </si>
  <si>
    <t>+91 9855428651</t>
  </si>
  <si>
    <t>2026-05-18T16:26:07.396Z</t>
  </si>
  <si>
    <t>anushka.singh76@parkpulse.io</t>
  </si>
  <si>
    <t>+91 9854162535</t>
  </si>
  <si>
    <t>2026-05-17T16:26:07.396Z</t>
  </si>
  <si>
    <t>aadhya.bhatia77@parkpulse.io</t>
  </si>
  <si>
    <t>+91 9831696237</t>
  </si>
  <si>
    <t>2026-05-16T16:26:07.396Z</t>
  </si>
  <si>
    <t>isha.kulkarni78@parkpulse.io</t>
  </si>
  <si>
    <t>+91 9895656985</t>
  </si>
  <si>
    <t>2026-05-15T16:26:07.396Z</t>
  </si>
  <si>
    <t>myra.roy79@parkpulse.io</t>
  </si>
  <si>
    <t>+91 9847912799</t>
  </si>
  <si>
    <t>2026-05-14T16:26:07.396Z</t>
  </si>
  <si>
    <t>tara.sharma80@parkpulse.io</t>
  </si>
  <si>
    <t>+91 9857136455</t>
  </si>
  <si>
    <t>2026-05-13T16:26:07.396Z</t>
  </si>
  <si>
    <t>alex.reddy81@parkpulse.io</t>
  </si>
  <si>
    <t>+91 9893580297</t>
  </si>
  <si>
    <t>2026-05-12T16:26:07.396Z</t>
  </si>
  <si>
    <t>sarah.iyer82@parkpulse.io</t>
  </si>
  <si>
    <t>+91 9843970222</t>
  </si>
  <si>
    <t>2026-05-11T16:26:07.396Z</t>
  </si>
  <si>
    <t>john.chopra83@parkpulse.io</t>
  </si>
  <si>
    <t>+91 9839468939</t>
  </si>
  <si>
    <t>2026-05-10T16:26:07.396Z</t>
  </si>
  <si>
    <t>elena.deshmukh84@parkpulse.io</t>
  </si>
  <si>
    <t>+91 9899149605</t>
  </si>
  <si>
    <t>2026-05-09T16:26:07.396Z</t>
  </si>
  <si>
    <t>michael.kapoor85@parkpulse.io</t>
  </si>
  <si>
    <t>+91 9892566766</t>
  </si>
  <si>
    <t>2026-05-08T16:26:07.396Z</t>
  </si>
  <si>
    <t>USR-1086</t>
  </si>
  <si>
    <t>priya.sen86@parkpulse.io</t>
  </si>
  <si>
    <t>+91 9812178322</t>
  </si>
  <si>
    <t>2026-05-07T16:26:07.396Z</t>
  </si>
  <si>
    <t>USR-1087</t>
  </si>
  <si>
    <t>rohit.verma87@parkpulse.io</t>
  </si>
  <si>
    <t>+91 9899818702</t>
  </si>
  <si>
    <t>2026-05-06T16:26:07.396Z</t>
  </si>
  <si>
    <t>USR-1088</t>
  </si>
  <si>
    <t>siddharth.mehta88@parkpulse.io</t>
  </si>
  <si>
    <t>+91 9892722899</t>
  </si>
  <si>
    <t>2026-05-05T16:26:07.396Z</t>
  </si>
  <si>
    <t>USR-1089</t>
  </si>
  <si>
    <t>neha.gupta89@parkpulse.io</t>
  </si>
  <si>
    <t>+91 9818116939</t>
  </si>
  <si>
    <t>2026-05-04T16:26:07.396Z</t>
  </si>
  <si>
    <t>USR-1090</t>
  </si>
  <si>
    <t>kavita.malhotra90@parkpulse.io</t>
  </si>
  <si>
    <t>+91 9816848165</t>
  </si>
  <si>
    <t>2026-05-03T16:26:07.396Z</t>
  </si>
  <si>
    <t>USR-1091</t>
  </si>
  <si>
    <t>aarav.joshi91@parkpulse.io</t>
  </si>
  <si>
    <t>+91 9849665845</t>
  </si>
  <si>
    <t>2026-05-02T16:26:07.396Z</t>
  </si>
  <si>
    <t>USR-1092</t>
  </si>
  <si>
    <t>vivaan.das92@parkpulse.io</t>
  </si>
  <si>
    <t>+91 9874347059</t>
  </si>
  <si>
    <t>2026-05-01T16:26:07.396Z</t>
  </si>
  <si>
    <t>USR-1093</t>
  </si>
  <si>
    <t>aditya.kumar93@parkpulse.io</t>
  </si>
  <si>
    <t>+91 9885378711</t>
  </si>
  <si>
    <t>2026-04-30T16:26:07.396Z</t>
  </si>
  <si>
    <t>USR-1094</t>
  </si>
  <si>
    <t>vihaan.patel94@parkpulse.io</t>
  </si>
  <si>
    <t>+91 9869534668</t>
  </si>
  <si>
    <t>2026-04-29T16:26:07.396Z</t>
  </si>
  <si>
    <t>USR-1095</t>
  </si>
  <si>
    <t>arjun.nair95@parkpulse.io</t>
  </si>
  <si>
    <t>+91 9838124772</t>
  </si>
  <si>
    <t>2026-04-28T16:26:07.396Z</t>
  </si>
  <si>
    <t>USR-1096</t>
  </si>
  <si>
    <t>sai.singh96@parkpulse.io</t>
  </si>
  <si>
    <t>+91 9822038583</t>
  </si>
  <si>
    <t>2026-04-27T16:26:07.396Z</t>
  </si>
  <si>
    <t>USR-1097</t>
  </si>
  <si>
    <t>reyansh.bhatia97@parkpulse.io</t>
  </si>
  <si>
    <t>+91 9815811468</t>
  </si>
  <si>
    <t>2026-04-26T16:26:07.396Z</t>
  </si>
  <si>
    <t>USR-1098</t>
  </si>
  <si>
    <t>ayaan.kulkarni98@parkpulse.io</t>
  </si>
  <si>
    <t>+91 9847898119</t>
  </si>
  <si>
    <t>2026-04-25T16:26:07.396Z</t>
  </si>
  <si>
    <t>USR-1099</t>
  </si>
  <si>
    <t>krishna.roy99@parkpulse.io</t>
  </si>
  <si>
    <t>+91 9826889184</t>
  </si>
  <si>
    <t>2026-04-24T16:26:07.396Z</t>
  </si>
  <si>
    <t>USR-1100</t>
  </si>
  <si>
    <t>ishaan.sharma100@parkpulse.io</t>
  </si>
  <si>
    <t>+91 9897627200</t>
  </si>
  <si>
    <t>2026-04-23T16:26:07.396Z</t>
  </si>
  <si>
    <t>Location_Code</t>
  </si>
  <si>
    <t>Facility_Name</t>
  </si>
  <si>
    <t>City</t>
  </si>
  <si>
    <t>Category</t>
  </si>
  <si>
    <t>Total_Capacity</t>
  </si>
  <si>
    <t>Rate_Car</t>
  </si>
  <si>
    <t>Rate_Bike</t>
  </si>
  <si>
    <t>Rate_EV</t>
  </si>
  <si>
    <t>CAMPUS</t>
  </si>
  <si>
    <t>University Campus Central</t>
  </si>
  <si>
    <t>New Delhi</t>
  </si>
  <si>
    <t>campus</t>
  </si>
  <si>
    <t>MALL</t>
  </si>
  <si>
    <t>Central City Mall &amp; Multiplex</t>
  </si>
  <si>
    <t>Noida</t>
  </si>
  <si>
    <t>mall</t>
  </si>
  <si>
    <t>TECHPARK</t>
  </si>
  <si>
    <t>Cyber Heights Tech Park</t>
  </si>
  <si>
    <t>Bengaluru</t>
  </si>
  <si>
    <t>techpark</t>
  </si>
  <si>
    <t>METRO</t>
  </si>
  <si>
    <t>Connaught Metro Intermodal Hub</t>
  </si>
  <si>
    <t>metro</t>
  </si>
  <si>
    <t>HOSPITAL</t>
  </si>
  <si>
    <t>Apollo Metro Care Hospital</t>
  </si>
  <si>
    <t>Gurugram</t>
  </si>
  <si>
    <t>hospital</t>
  </si>
  <si>
    <t>Row_Ref</t>
  </si>
  <si>
    <t>Customer_Name (XLOOKUP)</t>
  </si>
  <si>
    <t>Facility_Name (VLOOKUP)</t>
  </si>
  <si>
    <t>Syllabus_IF (Settlement State)</t>
  </si>
  <si>
    <t>Syllabus_Nested_IF (Tier Rating)</t>
  </si>
  <si>
    <t>Syllabus_AND_OR (High-Yield Flag)</t>
  </si>
  <si>
    <t>Syllabus_IFERROR_Check</t>
  </si>
  <si>
    <t>Outlier_Flag (&gt;3h Duration / Spike)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</si>
  <si>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</si>
  <si>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</si>
  <si>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</si>
  <si>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</si>
  <si>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</si>
  <si>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</si>
  <si>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</si>
  <si>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</si>
  <si>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</si>
  <si>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</si>
  <si>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</si>
  <si>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</si>
  <si>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</si>
  <si>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</si>
  <si>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</si>
  <si>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</si>
  <si>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</si>
  <si>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</si>
  <si>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</si>
  <si>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</si>
  <si>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</si>
  <si>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</si>
  <si>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</si>
  <si>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</si>
  <si>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</si>
  <si>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</si>
  <si>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</si>
  <si>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</si>
  <si>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</si>
  <si>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</si>
  <si>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</si>
  <si>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</si>
  <si>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</si>
  <si>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</si>
  <si>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</si>
  <si>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</si>
  <si>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</si>
  <si>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</si>
  <si>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</si>
  <si>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</si>
  <si>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</si>
  <si>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</si>
  <si>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</si>
  <si>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</si>
  <si>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</si>
  <si>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</si>
  <si>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</si>
  <si>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</si>
  <si>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</si>
  <si>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</si>
  <si>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</si>
  <si>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Syllabus Function Category</t>
  </si>
  <si>
    <t>Business KPI Metric Description</t>
  </si>
  <si>
    <t>Active Excel Formula</t>
  </si>
  <si>
    <t>Computed Excel Value</t>
  </si>
  <si>
    <t>COUNTIF</t>
  </si>
  <si>
    <t>Total Completed Bookings</t>
  </si>
  <si>
    <t>=COUNTIF(Bookings_Data!O:O, "COMPLETED")</t>
  </si>
  <si>
    <t>Total Cancelled Bookings</t>
  </si>
  <si>
    <t>=COUNTIF(Bookings_Data!O:O, "CANCELLED")</t>
  </si>
  <si>
    <t>COUNTIFS</t>
  </si>
  <si>
    <t>Cancelled Four-Wheeler Reservations</t>
  </si>
  <si>
    <t>=COUNTIFS(Bookings_Data!F:F, "car", Bookings_Data!O:O, "CANCELLED")</t>
  </si>
  <si>
    <t>SUMIF</t>
  </si>
  <si>
    <t>Total Revenue from Electric Vehicles (EV)</t>
  </si>
  <si>
    <t>=SUMIF(Bookings_Data!F:F, "ev", Bookings_Data!N:N)</t>
  </si>
  <si>
    <t>SUMIFS</t>
  </si>
  <si>
    <t>Realized Revenue (Car + Completed)</t>
  </si>
  <si>
    <t>=SUMIFS(Bookings_Data!N:N, Bookings_Data!F:F, "car", Bookings_Data!O:O, "COMPLETED")</t>
  </si>
  <si>
    <t>AVERAGEIF</t>
  </si>
  <si>
    <t>Average Fee across Two-Wheelers (Bikes)</t>
  </si>
  <si>
    <t>=AVERAGEIF(Bookings_Data!F:F, "bike", Bookings_Data!N:N)</t>
  </si>
  <si>
    <t>AVERAGEIFS</t>
  </si>
  <si>
    <t>Average Completed Booking Fare (Cars)</t>
  </si>
  <si>
    <t>=AVERAGEIFS(Bookings_Data!N:N, Bookings_Data!F:F, "car", Bookings_Data!O:O, "COMPLETED")</t>
  </si>
  <si>
    <t>STATISTICAL (MEAN)</t>
  </si>
  <si>
    <t>Mean Parking Duration (Hours)</t>
  </si>
  <si>
    <t>=AVERAGE(Bookings_Data!I2:I501)</t>
  </si>
  <si>
    <t>STATISTICAL (MEDIAN)</t>
  </si>
  <si>
    <t>Median Parking Duration (Hours)</t>
  </si>
  <si>
    <t>=MEDIAN(Bookings_Data!I2:I501)</t>
  </si>
  <si>
    <t>STATISTICAL (MODE)</t>
  </si>
  <si>
    <t>Mode Duration (Most Frequent Dwell)</t>
  </si>
  <si>
    <t>=MODE.SNGL(Bookings_Data!I2:I501)</t>
  </si>
  <si>
    <t>Mean Revenue per Booking (₹)</t>
  </si>
  <si>
    <t>=AVERAGE(Bookings_Data!N2:N501)</t>
  </si>
  <si>
    <t>Median Revenue per Booking (₹)</t>
  </si>
  <si>
    <t>=MEDIAN(Bookings_Data!N2:N501)</t>
  </si>
  <si>
    <t>STATISTICAL (STDEV)</t>
  </si>
  <si>
    <t>Standard Deviation of Revenue (Sample)</t>
  </si>
  <si>
    <t>=STDEV.S(Bookings_Data!N2:N501)</t>
  </si>
  <si>
    <t>IQR OUTLIER DETECTION</t>
  </si>
  <si>
    <t>Q1 (25th Percentile Duration)</t>
  </si>
  <si>
    <t>=QUARTILE.INC(Bookings_Data!I2:I501, 1)</t>
  </si>
  <si>
    <t>Q3 (75th Percentile Duration)</t>
  </si>
  <si>
    <t>=QUARTILE.INC(Bookings_Data!I2:I501, 3)</t>
  </si>
  <si>
    <t>IQR (Inter-Quartile Range)</t>
  </si>
  <si>
    <t>=D16 - D15</t>
  </si>
  <si>
    <t>Upper Fence Threshold (Q3 + 1.5*IQR)</t>
  </si>
  <si>
    <t>=D16 + (1.5 * D17)</t>
  </si>
  <si>
    <t>OUTLIERS COUNT</t>
  </si>
  <si>
    <t>Total Extreme Outliers Detected</t>
  </si>
  <si>
    <t>=COUNTIF(Formula_Practicals!M:M, "*OUTLIER*")</t>
  </si>
  <si>
    <t>Pivot Table Number</t>
  </si>
  <si>
    <t>Analysis Goal</t>
  </si>
  <si>
    <t>Rows (Grouping Dimension)</t>
  </si>
  <si>
    <t>Columns (Segmentation)</t>
  </si>
  <si>
    <t>Values (Aggregation Function)</t>
  </si>
  <si>
    <t>Report Filters / Slicers</t>
  </si>
  <si>
    <t>Pivot 1: Revenue by Facility &amp; Vehicle</t>
  </si>
  <si>
    <t>Facility Revenue Performance Matrix</t>
  </si>
  <si>
    <t>Location_ID (or VLOOKUP Name)</t>
  </si>
  <si>
    <t>Sum of Total_Amount (Currency format)</t>
  </si>
  <si>
    <t>Status (Filter for COMPLETED)</t>
  </si>
  <si>
    <t>Pivot 2: Peak Hours vs Day-of-Week</t>
  </si>
  <si>
    <t>Ingress Velocity &amp; Peak Density Heatmap</t>
  </si>
  <si>
    <t>Start_Time (Group by Hour 0-23)</t>
  </si>
  <si>
    <t>Start_Time (Group by Weekdays)</t>
  </si>
  <si>
    <t>Count of Booking_ID</t>
  </si>
  <si>
    <t>Pivot 3: Lifecycle Conversion &amp; Attrition</t>
  </si>
  <si>
    <t>Cancellation &amp; No-Show Breakdown</t>
  </si>
  <si>
    <t>Count of Booking_ID (% of Row)</t>
  </si>
  <si>
    <t>Pivot 4: Average Duration &amp; Yield</t>
  </si>
  <si>
    <t>Dwell Time &amp; Average Fare per Bay</t>
  </si>
  <si>
    <t>Average of Duration_Hours, Average of Total_Amount</t>
  </si>
  <si>
    <t>Payment_Status =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</si>
</sst>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8BDF8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6B6D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4" customWidth="1"/>
    <col min="5" max="5" width="16" customWidth="1"/>
    <col min="6" max="6" width="14" customWidth="1"/>
    <col min="7" max="8" width="22" customWidth="1"/>
    <col min="9" max="9" width="16" customWidth="1"/>
    <col min="10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6" width="16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1.5</v>
      </c>
      <c r="J2">
        <v>75</v>
      </c>
      <c r="K2">
        <v>1</v>
      </c>
      <c r="L2">
        <v>0</v>
      </c>
      <c r="M2">
        <v>10</v>
      </c>
      <c r="N2">
        <v>85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21</v>
      </c>
      <c r="G3" t="s">
        <v>31</v>
      </c>
      <c r="H3" t="s">
        <v>32</v>
      </c>
      <c r="I3">
        <v>2</v>
      </c>
      <c r="J3">
        <v>120</v>
      </c>
      <c r="K3">
        <v>1.25</v>
      </c>
      <c r="L3">
        <v>30</v>
      </c>
      <c r="M3">
        <v>10</v>
      </c>
      <c r="N3">
        <v>160</v>
      </c>
      <c r="O3" t="s">
        <v>24</v>
      </c>
      <c r="P3" t="s">
        <v>25</v>
      </c>
    </row>
    <row r="4" spans="1:16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2.5</v>
      </c>
      <c r="J4">
        <v>38</v>
      </c>
      <c r="K4">
        <v>1.25</v>
      </c>
      <c r="L4">
        <v>10</v>
      </c>
      <c r="M4">
        <v>10</v>
      </c>
      <c r="N4">
        <v>58</v>
      </c>
      <c r="O4" t="s">
        <v>24</v>
      </c>
      <c r="P4" t="s">
        <v>25</v>
      </c>
    </row>
    <row r="5" spans="1:16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38</v>
      </c>
      <c r="G5" t="s">
        <v>46</v>
      </c>
      <c r="H5" t="s">
        <v>47</v>
      </c>
      <c r="I5">
        <v>3</v>
      </c>
      <c r="J5">
        <v>30</v>
      </c>
      <c r="K5">
        <v>1.25</v>
      </c>
      <c r="L5">
        <v>8</v>
      </c>
      <c r="M5">
        <v>10</v>
      </c>
      <c r="N5">
        <v>48</v>
      </c>
      <c r="O5" t="s">
        <v>24</v>
      </c>
      <c r="P5" t="s">
        <v>25</v>
      </c>
    </row>
    <row r="6" spans="1:16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>
        <v>1</v>
      </c>
      <c r="J6">
        <v>50</v>
      </c>
      <c r="K6">
        <v>1.25</v>
      </c>
      <c r="L6">
        <v>13</v>
      </c>
      <c r="M6">
        <v>10</v>
      </c>
      <c r="N6">
        <v>73</v>
      </c>
      <c r="O6" t="s">
        <v>56</v>
      </c>
      <c r="P6" t="s">
        <v>57</v>
      </c>
    </row>
    <row r="7" spans="1:16" x14ac:dyDescent="0.25">
      <c r="A7" t="s">
        <v>58</v>
      </c>
      <c r="B7" t="s">
        <v>59</v>
      </c>
      <c r="C7" t="s">
        <v>18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>
        <v>1.5</v>
      </c>
      <c r="J7">
        <v>135</v>
      </c>
      <c r="K7">
        <v>1.25</v>
      </c>
      <c r="L7">
        <v>34</v>
      </c>
      <c r="M7">
        <v>10</v>
      </c>
      <c r="N7">
        <v>179</v>
      </c>
      <c r="O7" t="s">
        <v>65</v>
      </c>
      <c r="P7" t="s">
        <v>25</v>
      </c>
    </row>
    <row r="8" spans="1:16" x14ac:dyDescent="0.25">
      <c r="A8" t="s">
        <v>66</v>
      </c>
      <c r="B8" t="s">
        <v>67</v>
      </c>
      <c r="C8" t="s">
        <v>28</v>
      </c>
      <c r="D8" t="s">
        <v>68</v>
      </c>
      <c r="E8" t="s">
        <v>69</v>
      </c>
      <c r="F8" t="s">
        <v>21</v>
      </c>
      <c r="G8" t="s">
        <v>70</v>
      </c>
      <c r="H8" t="s">
        <v>71</v>
      </c>
      <c r="I8">
        <v>2</v>
      </c>
      <c r="J8">
        <v>120</v>
      </c>
      <c r="K8">
        <v>1</v>
      </c>
      <c r="L8">
        <v>0</v>
      </c>
      <c r="M8">
        <v>10</v>
      </c>
      <c r="N8">
        <v>130</v>
      </c>
      <c r="O8" t="s">
        <v>72</v>
      </c>
      <c r="P8" t="s">
        <v>73</v>
      </c>
    </row>
    <row r="9" spans="1:16" x14ac:dyDescent="0.25">
      <c r="A9" t="s">
        <v>74</v>
      </c>
      <c r="B9" t="s">
        <v>75</v>
      </c>
      <c r="C9" t="s">
        <v>35</v>
      </c>
      <c r="D9" t="s">
        <v>76</v>
      </c>
      <c r="E9" t="s">
        <v>77</v>
      </c>
      <c r="F9" t="s">
        <v>21</v>
      </c>
      <c r="G9" t="s">
        <v>78</v>
      </c>
      <c r="H9" t="s">
        <v>79</v>
      </c>
      <c r="I9">
        <v>2.5</v>
      </c>
      <c r="J9">
        <v>88</v>
      </c>
      <c r="K9">
        <v>1.25</v>
      </c>
      <c r="L9">
        <v>22</v>
      </c>
      <c r="M9">
        <v>10</v>
      </c>
      <c r="N9">
        <v>120</v>
      </c>
      <c r="O9" t="s">
        <v>80</v>
      </c>
      <c r="P9" t="s">
        <v>25</v>
      </c>
    </row>
    <row r="10" spans="1:16" x14ac:dyDescent="0.25">
      <c r="A10" t="s">
        <v>81</v>
      </c>
      <c r="B10" t="s">
        <v>82</v>
      </c>
      <c r="C10" t="s">
        <v>43</v>
      </c>
      <c r="D10" t="s">
        <v>83</v>
      </c>
      <c r="E10" t="s">
        <v>84</v>
      </c>
      <c r="F10" t="s">
        <v>21</v>
      </c>
      <c r="G10" t="s">
        <v>85</v>
      </c>
      <c r="H10" t="s">
        <v>86</v>
      </c>
      <c r="I10">
        <v>3</v>
      </c>
      <c r="J10">
        <v>90</v>
      </c>
      <c r="K10">
        <v>1.25</v>
      </c>
      <c r="L10">
        <v>23</v>
      </c>
      <c r="M10">
        <v>10</v>
      </c>
      <c r="N10">
        <v>123</v>
      </c>
      <c r="O10" t="s">
        <v>24</v>
      </c>
      <c r="P10" t="s">
        <v>25</v>
      </c>
    </row>
    <row r="11" spans="1:16" x14ac:dyDescent="0.25">
      <c r="A11" t="s">
        <v>87</v>
      </c>
      <c r="B11" t="s">
        <v>88</v>
      </c>
      <c r="C11" t="s">
        <v>50</v>
      </c>
      <c r="D11" t="s">
        <v>89</v>
      </c>
      <c r="E11" t="s">
        <v>90</v>
      </c>
      <c r="F11" t="s">
        <v>38</v>
      </c>
      <c r="G11" t="s">
        <v>91</v>
      </c>
      <c r="H11" t="s">
        <v>92</v>
      </c>
      <c r="I11">
        <v>1</v>
      </c>
      <c r="J11">
        <v>20</v>
      </c>
      <c r="K11">
        <v>1</v>
      </c>
      <c r="L11">
        <v>0</v>
      </c>
      <c r="M11">
        <v>10</v>
      </c>
      <c r="N11">
        <v>5</v>
      </c>
      <c r="O11" t="s">
        <v>24</v>
      </c>
      <c r="P11" t="s">
        <v>25</v>
      </c>
    </row>
    <row r="12" spans="1:16" x14ac:dyDescent="0.25">
      <c r="A12" t="s">
        <v>93</v>
      </c>
      <c r="B12" t="s">
        <v>94</v>
      </c>
      <c r="C12" t="s">
        <v>18</v>
      </c>
      <c r="D12" t="s">
        <v>95</v>
      </c>
      <c r="E12" t="s">
        <v>96</v>
      </c>
      <c r="F12" t="s">
        <v>38</v>
      </c>
      <c r="G12" t="s">
        <v>97</v>
      </c>
      <c r="H12" t="s">
        <v>98</v>
      </c>
      <c r="I12">
        <v>1.5</v>
      </c>
      <c r="J12">
        <v>38</v>
      </c>
      <c r="K12">
        <v>1</v>
      </c>
      <c r="L12">
        <v>0</v>
      </c>
      <c r="M12">
        <v>10</v>
      </c>
      <c r="N12">
        <v>48</v>
      </c>
      <c r="O12" t="s">
        <v>24</v>
      </c>
      <c r="P12" t="s">
        <v>25</v>
      </c>
    </row>
    <row r="13" spans="1:16" x14ac:dyDescent="0.25">
      <c r="A13" t="s">
        <v>99</v>
      </c>
      <c r="B13" t="s">
        <v>100</v>
      </c>
      <c r="C13" t="s">
        <v>28</v>
      </c>
      <c r="D13" t="s">
        <v>101</v>
      </c>
      <c r="E13" t="s">
        <v>102</v>
      </c>
      <c r="F13" t="s">
        <v>53</v>
      </c>
      <c r="G13" t="s">
        <v>103</v>
      </c>
      <c r="H13" t="s">
        <v>104</v>
      </c>
      <c r="I13">
        <v>2</v>
      </c>
      <c r="J13">
        <v>140</v>
      </c>
      <c r="K13">
        <v>1.25</v>
      </c>
      <c r="L13">
        <v>35</v>
      </c>
      <c r="M13">
        <v>10</v>
      </c>
      <c r="N13">
        <v>185</v>
      </c>
      <c r="O13" t="s">
        <v>24</v>
      </c>
      <c r="P13" t="s">
        <v>25</v>
      </c>
    </row>
    <row r="14" spans="1:16" x14ac:dyDescent="0.25">
      <c r="A14" t="s">
        <v>105</v>
      </c>
      <c r="B14" t="s">
        <v>106</v>
      </c>
      <c r="C14" t="s">
        <v>35</v>
      </c>
      <c r="D14" t="s">
        <v>107</v>
      </c>
      <c r="E14" t="s">
        <v>108</v>
      </c>
      <c r="F14" t="s">
        <v>62</v>
      </c>
      <c r="G14" t="s">
        <v>109</v>
      </c>
      <c r="H14" t="s">
        <v>110</v>
      </c>
      <c r="I14">
        <v>2.5</v>
      </c>
      <c r="J14">
        <v>158</v>
      </c>
      <c r="K14">
        <v>1.25</v>
      </c>
      <c r="L14">
        <v>40</v>
      </c>
      <c r="M14">
        <v>10</v>
      </c>
      <c r="N14">
        <v>208</v>
      </c>
      <c r="O14" t="s">
        <v>24</v>
      </c>
      <c r="P14" t="s">
        <v>25</v>
      </c>
    </row>
    <row r="15" spans="1:16" x14ac:dyDescent="0.25">
      <c r="A15" t="s">
        <v>111</v>
      </c>
      <c r="B15" t="s">
        <v>112</v>
      </c>
      <c r="C15" t="s">
        <v>43</v>
      </c>
      <c r="D15" t="s">
        <v>113</v>
      </c>
      <c r="E15" t="s">
        <v>114</v>
      </c>
      <c r="F15" t="s">
        <v>21</v>
      </c>
      <c r="G15" t="s">
        <v>115</v>
      </c>
      <c r="H15" t="s">
        <v>116</v>
      </c>
      <c r="I15">
        <v>3</v>
      </c>
      <c r="J15">
        <v>90</v>
      </c>
      <c r="K15">
        <v>1</v>
      </c>
      <c r="L15">
        <v>0</v>
      </c>
      <c r="M15">
        <v>10</v>
      </c>
      <c r="N15">
        <v>100</v>
      </c>
      <c r="O15" t="s">
        <v>56</v>
      </c>
      <c r="P15" t="s">
        <v>57</v>
      </c>
    </row>
    <row r="16" spans="1:16" x14ac:dyDescent="0.25">
      <c r="A16" t="s">
        <v>117</v>
      </c>
      <c r="B16" t="s">
        <v>118</v>
      </c>
      <c r="C16" t="s">
        <v>50</v>
      </c>
      <c r="D16" t="s">
        <v>119</v>
      </c>
      <c r="E16" t="s">
        <v>120</v>
      </c>
      <c r="F16" t="s">
        <v>21</v>
      </c>
      <c r="G16" t="s">
        <v>121</v>
      </c>
      <c r="H16" t="s">
        <v>122</v>
      </c>
      <c r="I16">
        <v>1</v>
      </c>
      <c r="J16">
        <v>40</v>
      </c>
      <c r="K16">
        <v>1.25</v>
      </c>
      <c r="L16">
        <v>10</v>
      </c>
      <c r="M16">
        <v>10</v>
      </c>
      <c r="N16">
        <v>60</v>
      </c>
      <c r="O16" t="s">
        <v>65</v>
      </c>
      <c r="P16" t="s">
        <v>25</v>
      </c>
    </row>
    <row r="17" spans="1:16" x14ac:dyDescent="0.25">
      <c r="A17" t="s">
        <v>123</v>
      </c>
      <c r="B17" t="s">
        <v>124</v>
      </c>
      <c r="C17" t="s">
        <v>18</v>
      </c>
      <c r="D17" t="s">
        <v>125</v>
      </c>
      <c r="E17" t="s">
        <v>126</v>
      </c>
      <c r="F17" t="s">
        <v>21</v>
      </c>
      <c r="G17" t="s">
        <v>127</v>
      </c>
      <c r="H17" t="s">
        <v>128</v>
      </c>
      <c r="I17">
        <v>1.5</v>
      </c>
      <c r="J17">
        <v>75</v>
      </c>
      <c r="K17">
        <v>1.25</v>
      </c>
      <c r="L17">
        <v>19</v>
      </c>
      <c r="M17">
        <v>10</v>
      </c>
      <c r="N17">
        <v>104</v>
      </c>
      <c r="O17" t="s">
        <v>72</v>
      </c>
      <c r="P17" t="s">
        <v>73</v>
      </c>
    </row>
    <row r="18" spans="1:16" x14ac:dyDescent="0.25">
      <c r="A18" t="s">
        <v>129</v>
      </c>
      <c r="B18" t="s">
        <v>130</v>
      </c>
      <c r="C18" t="s">
        <v>28</v>
      </c>
      <c r="D18" t="s">
        <v>131</v>
      </c>
      <c r="E18" t="s">
        <v>132</v>
      </c>
      <c r="F18" t="s">
        <v>38</v>
      </c>
      <c r="G18" t="s">
        <v>133</v>
      </c>
      <c r="H18" t="s">
        <v>134</v>
      </c>
      <c r="I18">
        <v>2</v>
      </c>
      <c r="J18">
        <v>60</v>
      </c>
      <c r="K18">
        <v>1.25</v>
      </c>
      <c r="L18">
        <v>15</v>
      </c>
      <c r="M18">
        <v>10</v>
      </c>
      <c r="N18">
        <v>85</v>
      </c>
      <c r="O18" t="s">
        <v>80</v>
      </c>
      <c r="P18" t="s">
        <v>25</v>
      </c>
    </row>
    <row r="19" spans="1:16" x14ac:dyDescent="0.25">
      <c r="A19" t="s">
        <v>135</v>
      </c>
      <c r="B19" t="s">
        <v>136</v>
      </c>
      <c r="C19" t="s">
        <v>35</v>
      </c>
      <c r="D19" t="s">
        <v>137</v>
      </c>
      <c r="E19" t="s">
        <v>138</v>
      </c>
      <c r="F19" t="s">
        <v>38</v>
      </c>
      <c r="G19" t="s">
        <v>139</v>
      </c>
      <c r="H19" t="s">
        <v>140</v>
      </c>
      <c r="I19">
        <v>2.5</v>
      </c>
      <c r="J19">
        <v>38</v>
      </c>
      <c r="K19">
        <v>1.25</v>
      </c>
      <c r="L19">
        <v>10</v>
      </c>
      <c r="M19">
        <v>10</v>
      </c>
      <c r="N19">
        <v>58</v>
      </c>
      <c r="O19" t="s">
        <v>24</v>
      </c>
      <c r="P19" t="s">
        <v>25</v>
      </c>
    </row>
    <row r="20" spans="1:16" x14ac:dyDescent="0.25">
      <c r="A20" t="s">
        <v>141</v>
      </c>
      <c r="B20" t="s">
        <v>142</v>
      </c>
      <c r="C20" t="s">
        <v>43</v>
      </c>
      <c r="D20" t="s">
        <v>143</v>
      </c>
      <c r="E20" t="s">
        <v>144</v>
      </c>
      <c r="F20" t="s">
        <v>53</v>
      </c>
      <c r="G20" t="s">
        <v>145</v>
      </c>
      <c r="H20" t="s">
        <v>146</v>
      </c>
      <c r="I20">
        <v>3</v>
      </c>
      <c r="J20">
        <v>120</v>
      </c>
      <c r="K20">
        <v>1.25</v>
      </c>
      <c r="L20">
        <v>30</v>
      </c>
      <c r="M20">
        <v>10</v>
      </c>
      <c r="N20">
        <v>160</v>
      </c>
      <c r="O20" t="s">
        <v>24</v>
      </c>
      <c r="P20" t="s">
        <v>25</v>
      </c>
    </row>
    <row r="21" spans="1:16" x14ac:dyDescent="0.25">
      <c r="A21" t="s">
        <v>147</v>
      </c>
      <c r="B21" t="s">
        <v>148</v>
      </c>
      <c r="C21" t="s">
        <v>50</v>
      </c>
      <c r="D21" t="s">
        <v>149</v>
      </c>
      <c r="E21" t="s">
        <v>150</v>
      </c>
      <c r="F21" t="s">
        <v>62</v>
      </c>
      <c r="G21" t="s">
        <v>151</v>
      </c>
      <c r="H21" t="s">
        <v>152</v>
      </c>
      <c r="I21">
        <v>1</v>
      </c>
      <c r="J21">
        <v>72</v>
      </c>
      <c r="K21">
        <v>1.25</v>
      </c>
      <c r="L21">
        <v>18</v>
      </c>
      <c r="M21">
        <v>10</v>
      </c>
      <c r="N21">
        <v>100</v>
      </c>
      <c r="O21" t="s">
        <v>24</v>
      </c>
      <c r="P21" t="s">
        <v>25</v>
      </c>
    </row>
    <row r="22" spans="1:16" x14ac:dyDescent="0.25">
      <c r="A22" t="s">
        <v>153</v>
      </c>
      <c r="B22" t="s">
        <v>154</v>
      </c>
      <c r="C22" t="s">
        <v>18</v>
      </c>
      <c r="D22" t="s">
        <v>155</v>
      </c>
      <c r="E22" t="s">
        <v>156</v>
      </c>
      <c r="F22" t="s">
        <v>21</v>
      </c>
      <c r="G22" t="s">
        <v>157</v>
      </c>
      <c r="H22" t="s">
        <v>158</v>
      </c>
      <c r="I22">
        <v>1.5</v>
      </c>
      <c r="J22">
        <v>75</v>
      </c>
      <c r="K22">
        <v>1.25</v>
      </c>
      <c r="L22">
        <v>19</v>
      </c>
      <c r="M22">
        <v>10</v>
      </c>
      <c r="N22">
        <v>104</v>
      </c>
      <c r="O22" t="s">
        <v>24</v>
      </c>
      <c r="P22" t="s">
        <v>25</v>
      </c>
    </row>
    <row r="23" spans="1:16" x14ac:dyDescent="0.25">
      <c r="A23" t="s">
        <v>159</v>
      </c>
      <c r="B23" t="s">
        <v>160</v>
      </c>
      <c r="C23" t="s">
        <v>28</v>
      </c>
      <c r="D23" t="s">
        <v>161</v>
      </c>
      <c r="E23" t="s">
        <v>162</v>
      </c>
      <c r="F23" t="s">
        <v>21</v>
      </c>
      <c r="G23" t="s">
        <v>163</v>
      </c>
      <c r="H23" t="s">
        <v>164</v>
      </c>
      <c r="I23">
        <v>2</v>
      </c>
      <c r="J23">
        <v>120</v>
      </c>
      <c r="K23">
        <v>1.25</v>
      </c>
      <c r="L23">
        <v>30</v>
      </c>
      <c r="M23">
        <v>10</v>
      </c>
      <c r="N23">
        <v>160</v>
      </c>
      <c r="O23" t="s">
        <v>24</v>
      </c>
      <c r="P23" t="s">
        <v>25</v>
      </c>
    </row>
    <row r="24" spans="1:16" x14ac:dyDescent="0.25">
      <c r="A24" t="s">
        <v>165</v>
      </c>
      <c r="B24" t="s">
        <v>166</v>
      </c>
      <c r="C24" t="s">
        <v>35</v>
      </c>
      <c r="D24" t="s">
        <v>167</v>
      </c>
      <c r="E24" t="s">
        <v>168</v>
      </c>
      <c r="F24" t="s">
        <v>21</v>
      </c>
      <c r="G24" t="s">
        <v>169</v>
      </c>
      <c r="H24" t="s">
        <v>170</v>
      </c>
      <c r="I24">
        <v>2.5</v>
      </c>
      <c r="J24">
        <v>88</v>
      </c>
      <c r="K24">
        <v>1.25</v>
      </c>
      <c r="L24">
        <v>22</v>
      </c>
      <c r="M24">
        <v>10</v>
      </c>
      <c r="N24">
        <v>120</v>
      </c>
      <c r="O24" t="s">
        <v>56</v>
      </c>
      <c r="P24" t="s">
        <v>57</v>
      </c>
    </row>
    <row r="25" spans="1:16" x14ac:dyDescent="0.25">
      <c r="A25" t="s">
        <v>171</v>
      </c>
      <c r="B25" t="s">
        <v>172</v>
      </c>
      <c r="C25" t="s">
        <v>43</v>
      </c>
      <c r="D25" t="s">
        <v>173</v>
      </c>
      <c r="E25" t="s">
        <v>174</v>
      </c>
      <c r="F25" t="s">
        <v>38</v>
      </c>
      <c r="G25" t="s">
        <v>175</v>
      </c>
      <c r="H25" t="s">
        <v>176</v>
      </c>
      <c r="I25">
        <v>3</v>
      </c>
      <c r="J25">
        <v>30</v>
      </c>
      <c r="K25">
        <v>1.25</v>
      </c>
      <c r="L25">
        <v>8</v>
      </c>
      <c r="M25">
        <v>10</v>
      </c>
      <c r="N25">
        <v>48</v>
      </c>
      <c r="O25" t="s">
        <v>65</v>
      </c>
      <c r="P25" t="s">
        <v>25</v>
      </c>
    </row>
    <row r="26" spans="1:16" x14ac:dyDescent="0.25">
      <c r="A26" t="s">
        <v>177</v>
      </c>
      <c r="B26" t="s">
        <v>178</v>
      </c>
      <c r="C26" t="s">
        <v>50</v>
      </c>
      <c r="D26" t="s">
        <v>179</v>
      </c>
      <c r="E26" t="s">
        <v>180</v>
      </c>
      <c r="F26" t="s">
        <v>38</v>
      </c>
      <c r="G26" t="s">
        <v>181</v>
      </c>
      <c r="H26" t="s">
        <v>182</v>
      </c>
      <c r="I26">
        <v>1</v>
      </c>
      <c r="J26">
        <v>20</v>
      </c>
      <c r="K26">
        <v>1</v>
      </c>
      <c r="L26">
        <v>0</v>
      </c>
      <c r="M26">
        <v>10</v>
      </c>
      <c r="N26">
        <v>5</v>
      </c>
      <c r="O26" t="s">
        <v>72</v>
      </c>
      <c r="P26" t="s">
        <v>73</v>
      </c>
    </row>
    <row r="27" spans="1:16" x14ac:dyDescent="0.25">
      <c r="A27" t="s">
        <v>183</v>
      </c>
      <c r="B27" t="s">
        <v>184</v>
      </c>
      <c r="C27" t="s">
        <v>18</v>
      </c>
      <c r="D27" t="s">
        <v>185</v>
      </c>
      <c r="E27" t="s">
        <v>186</v>
      </c>
      <c r="F27" t="s">
        <v>53</v>
      </c>
      <c r="G27" t="s">
        <v>187</v>
      </c>
      <c r="H27" t="s">
        <v>188</v>
      </c>
      <c r="I27">
        <v>1.5</v>
      </c>
      <c r="J27">
        <v>90</v>
      </c>
      <c r="K27">
        <v>1</v>
      </c>
      <c r="L27">
        <v>0</v>
      </c>
      <c r="M27">
        <v>10</v>
      </c>
      <c r="N27">
        <v>100</v>
      </c>
      <c r="O27" t="s">
        <v>80</v>
      </c>
      <c r="P27" t="s">
        <v>25</v>
      </c>
    </row>
    <row r="28" spans="1:16" x14ac:dyDescent="0.25">
      <c r="A28" t="s">
        <v>189</v>
      </c>
      <c r="B28" t="s">
        <v>190</v>
      </c>
      <c r="C28" t="s">
        <v>28</v>
      </c>
      <c r="D28" t="s">
        <v>191</v>
      </c>
      <c r="E28" t="s">
        <v>192</v>
      </c>
      <c r="F28" t="s">
        <v>62</v>
      </c>
      <c r="G28" t="s">
        <v>193</v>
      </c>
      <c r="H28" t="s">
        <v>194</v>
      </c>
      <c r="I28">
        <v>2</v>
      </c>
      <c r="J28">
        <v>216</v>
      </c>
      <c r="K28">
        <v>1.25</v>
      </c>
      <c r="L28">
        <v>54</v>
      </c>
      <c r="M28">
        <v>10</v>
      </c>
      <c r="N28">
        <v>280</v>
      </c>
      <c r="O28" t="s">
        <v>24</v>
      </c>
      <c r="P28" t="s">
        <v>25</v>
      </c>
    </row>
    <row r="29" spans="1:16" x14ac:dyDescent="0.25">
      <c r="A29" t="s">
        <v>195</v>
      </c>
      <c r="B29" t="s">
        <v>196</v>
      </c>
      <c r="C29" t="s">
        <v>35</v>
      </c>
      <c r="D29" t="s">
        <v>197</v>
      </c>
      <c r="E29" t="s">
        <v>198</v>
      </c>
      <c r="F29" t="s">
        <v>21</v>
      </c>
      <c r="G29" t="s">
        <v>199</v>
      </c>
      <c r="H29" t="s">
        <v>200</v>
      </c>
      <c r="I29">
        <v>2.5</v>
      </c>
      <c r="J29">
        <v>88</v>
      </c>
      <c r="K29">
        <v>1.25</v>
      </c>
      <c r="L29">
        <v>22</v>
      </c>
      <c r="M29">
        <v>10</v>
      </c>
      <c r="N29">
        <v>120</v>
      </c>
      <c r="O29" t="s">
        <v>24</v>
      </c>
      <c r="P29" t="s">
        <v>25</v>
      </c>
    </row>
    <row r="30" spans="1:16" x14ac:dyDescent="0.25">
      <c r="A30" t="s">
        <v>201</v>
      </c>
      <c r="B30" t="s">
        <v>202</v>
      </c>
      <c r="C30" t="s">
        <v>43</v>
      </c>
      <c r="D30" t="s">
        <v>203</v>
      </c>
      <c r="E30" t="s">
        <v>204</v>
      </c>
      <c r="F30" t="s">
        <v>21</v>
      </c>
      <c r="G30" t="s">
        <v>205</v>
      </c>
      <c r="H30" t="s">
        <v>206</v>
      </c>
      <c r="I30">
        <v>3</v>
      </c>
      <c r="J30">
        <v>90</v>
      </c>
      <c r="K30">
        <v>1</v>
      </c>
      <c r="L30">
        <v>0</v>
      </c>
      <c r="M30">
        <v>10</v>
      </c>
      <c r="N30">
        <v>100</v>
      </c>
      <c r="O30" t="s">
        <v>24</v>
      </c>
      <c r="P30" t="s">
        <v>25</v>
      </c>
    </row>
    <row r="31" spans="1:16" x14ac:dyDescent="0.25">
      <c r="A31" t="s">
        <v>207</v>
      </c>
      <c r="B31" t="s">
        <v>208</v>
      </c>
      <c r="C31" t="s">
        <v>50</v>
      </c>
      <c r="D31" t="s">
        <v>209</v>
      </c>
      <c r="E31" t="s">
        <v>210</v>
      </c>
      <c r="F31" t="s">
        <v>21</v>
      </c>
      <c r="G31" t="s">
        <v>211</v>
      </c>
      <c r="H31" t="s">
        <v>212</v>
      </c>
      <c r="I31">
        <v>1</v>
      </c>
      <c r="J31">
        <v>40</v>
      </c>
      <c r="K31">
        <v>1.25</v>
      </c>
      <c r="L31">
        <v>10</v>
      </c>
      <c r="M31">
        <v>10</v>
      </c>
      <c r="N31">
        <v>35</v>
      </c>
      <c r="O31" t="s">
        <v>24</v>
      </c>
      <c r="P31" t="s">
        <v>25</v>
      </c>
    </row>
    <row r="32" spans="1:16" x14ac:dyDescent="0.25">
      <c r="A32" t="s">
        <v>213</v>
      </c>
      <c r="B32" t="s">
        <v>214</v>
      </c>
      <c r="C32" t="s">
        <v>18</v>
      </c>
      <c r="D32" t="s">
        <v>215</v>
      </c>
      <c r="E32" t="s">
        <v>216</v>
      </c>
      <c r="F32" t="s">
        <v>38</v>
      </c>
      <c r="G32" t="s">
        <v>217</v>
      </c>
      <c r="H32" t="s">
        <v>218</v>
      </c>
      <c r="I32">
        <v>1.5</v>
      </c>
      <c r="J32">
        <v>38</v>
      </c>
      <c r="K32">
        <v>1.25</v>
      </c>
      <c r="L32">
        <v>10</v>
      </c>
      <c r="M32">
        <v>10</v>
      </c>
      <c r="N32">
        <v>58</v>
      </c>
      <c r="O32" t="s">
        <v>24</v>
      </c>
      <c r="P32" t="s">
        <v>25</v>
      </c>
    </row>
    <row r="33" spans="1:16" x14ac:dyDescent="0.25">
      <c r="A33" t="s">
        <v>219</v>
      </c>
      <c r="B33" t="s">
        <v>220</v>
      </c>
      <c r="C33" t="s">
        <v>28</v>
      </c>
      <c r="D33" t="s">
        <v>221</v>
      </c>
      <c r="E33" t="s">
        <v>222</v>
      </c>
      <c r="F33" t="s">
        <v>38</v>
      </c>
      <c r="G33" t="s">
        <v>223</v>
      </c>
      <c r="H33" t="s">
        <v>224</v>
      </c>
      <c r="I33">
        <v>2</v>
      </c>
      <c r="J33">
        <v>60</v>
      </c>
      <c r="K33">
        <v>1.25</v>
      </c>
      <c r="L33">
        <v>15</v>
      </c>
      <c r="M33">
        <v>10</v>
      </c>
      <c r="N33">
        <v>85</v>
      </c>
      <c r="O33" t="s">
        <v>56</v>
      </c>
      <c r="P33" t="s">
        <v>57</v>
      </c>
    </row>
    <row r="34" spans="1:16" x14ac:dyDescent="0.25">
      <c r="A34" t="s">
        <v>225</v>
      </c>
      <c r="B34" t="s">
        <v>226</v>
      </c>
      <c r="C34" t="s">
        <v>35</v>
      </c>
      <c r="D34" t="s">
        <v>227</v>
      </c>
      <c r="E34" t="s">
        <v>228</v>
      </c>
      <c r="F34" t="s">
        <v>53</v>
      </c>
      <c r="G34" t="s">
        <v>229</v>
      </c>
      <c r="H34" t="s">
        <v>230</v>
      </c>
      <c r="I34">
        <v>2.5</v>
      </c>
      <c r="J34">
        <v>113</v>
      </c>
      <c r="K34">
        <v>1.25</v>
      </c>
      <c r="L34">
        <v>28</v>
      </c>
      <c r="M34">
        <v>10</v>
      </c>
      <c r="N34">
        <v>151</v>
      </c>
      <c r="O34" t="s">
        <v>65</v>
      </c>
      <c r="P34" t="s">
        <v>25</v>
      </c>
    </row>
    <row r="35" spans="1:16" x14ac:dyDescent="0.25">
      <c r="A35" t="s">
        <v>231</v>
      </c>
      <c r="B35" t="s">
        <v>232</v>
      </c>
      <c r="C35" t="s">
        <v>43</v>
      </c>
      <c r="D35" t="s">
        <v>233</v>
      </c>
      <c r="E35" t="s">
        <v>234</v>
      </c>
      <c r="F35" t="s">
        <v>62</v>
      </c>
      <c r="G35" t="s">
        <v>235</v>
      </c>
      <c r="H35" t="s">
        <v>236</v>
      </c>
      <c r="I35">
        <v>3</v>
      </c>
      <c r="J35">
        <v>162</v>
      </c>
      <c r="K35">
        <v>1.25</v>
      </c>
      <c r="L35">
        <v>41</v>
      </c>
      <c r="M35">
        <v>10</v>
      </c>
      <c r="N35">
        <v>213</v>
      </c>
      <c r="O35" t="s">
        <v>72</v>
      </c>
      <c r="P35" t="s">
        <v>73</v>
      </c>
    </row>
    <row r="36" spans="1:16" x14ac:dyDescent="0.25">
      <c r="A36" t="s">
        <v>237</v>
      </c>
      <c r="B36" t="s">
        <v>238</v>
      </c>
      <c r="C36" t="s">
        <v>50</v>
      </c>
      <c r="D36" t="s">
        <v>239</v>
      </c>
      <c r="E36" t="s">
        <v>240</v>
      </c>
      <c r="F36" t="s">
        <v>21</v>
      </c>
      <c r="G36" t="s">
        <v>241</v>
      </c>
      <c r="H36" t="s">
        <v>242</v>
      </c>
      <c r="I36">
        <v>1</v>
      </c>
      <c r="J36">
        <v>40</v>
      </c>
      <c r="K36">
        <v>1</v>
      </c>
      <c r="L36">
        <v>0</v>
      </c>
      <c r="M36">
        <v>10</v>
      </c>
      <c r="N36">
        <v>50</v>
      </c>
      <c r="O36" t="s">
        <v>80</v>
      </c>
      <c r="P36" t="s">
        <v>25</v>
      </c>
    </row>
    <row r="37" spans="1:16" x14ac:dyDescent="0.25">
      <c r="A37" t="s">
        <v>243</v>
      </c>
      <c r="B37" t="s">
        <v>244</v>
      </c>
      <c r="C37" t="s">
        <v>18</v>
      </c>
      <c r="D37" t="s">
        <v>245</v>
      </c>
      <c r="E37" t="s">
        <v>246</v>
      </c>
      <c r="F37" t="s">
        <v>21</v>
      </c>
      <c r="G37" t="s">
        <v>247</v>
      </c>
      <c r="H37" t="s">
        <v>248</v>
      </c>
      <c r="I37">
        <v>1.5</v>
      </c>
      <c r="J37">
        <v>75</v>
      </c>
      <c r="K37">
        <v>1.25</v>
      </c>
      <c r="L37">
        <v>19</v>
      </c>
      <c r="M37">
        <v>10</v>
      </c>
      <c r="N37">
        <v>104</v>
      </c>
      <c r="O37" t="s">
        <v>24</v>
      </c>
      <c r="P37" t="s">
        <v>25</v>
      </c>
    </row>
    <row r="38" spans="1:16" x14ac:dyDescent="0.25">
      <c r="A38" t="s">
        <v>249</v>
      </c>
      <c r="B38" t="s">
        <v>250</v>
      </c>
      <c r="C38" t="s">
        <v>28</v>
      </c>
      <c r="D38" t="s">
        <v>251</v>
      </c>
      <c r="E38" t="s">
        <v>252</v>
      </c>
      <c r="F38" t="s">
        <v>21</v>
      </c>
      <c r="G38" t="s">
        <v>253</v>
      </c>
      <c r="H38" t="s">
        <v>254</v>
      </c>
      <c r="I38">
        <v>2</v>
      </c>
      <c r="J38">
        <v>120</v>
      </c>
      <c r="K38">
        <v>1.25</v>
      </c>
      <c r="L38">
        <v>30</v>
      </c>
      <c r="M38">
        <v>10</v>
      </c>
      <c r="N38">
        <v>160</v>
      </c>
      <c r="O38" t="s">
        <v>24</v>
      </c>
      <c r="P38" t="s">
        <v>25</v>
      </c>
    </row>
    <row r="39" spans="1:16" x14ac:dyDescent="0.25">
      <c r="A39" t="s">
        <v>255</v>
      </c>
      <c r="B39" t="s">
        <v>256</v>
      </c>
      <c r="C39" t="s">
        <v>35</v>
      </c>
      <c r="D39" t="s">
        <v>257</v>
      </c>
      <c r="E39" t="s">
        <v>258</v>
      </c>
      <c r="F39" t="s">
        <v>38</v>
      </c>
      <c r="G39" t="s">
        <v>259</v>
      </c>
      <c r="H39" t="s">
        <v>260</v>
      </c>
      <c r="I39">
        <v>2.5</v>
      </c>
      <c r="J39">
        <v>38</v>
      </c>
      <c r="K39">
        <v>1</v>
      </c>
      <c r="L39">
        <v>0</v>
      </c>
      <c r="M39">
        <v>10</v>
      </c>
      <c r="N39">
        <v>48</v>
      </c>
      <c r="O39" t="s">
        <v>24</v>
      </c>
      <c r="P39" t="s">
        <v>25</v>
      </c>
    </row>
    <row r="40" spans="1:16" x14ac:dyDescent="0.25">
      <c r="A40" t="s">
        <v>261</v>
      </c>
      <c r="B40" t="s">
        <v>262</v>
      </c>
      <c r="C40" t="s">
        <v>43</v>
      </c>
      <c r="D40" t="s">
        <v>263</v>
      </c>
      <c r="E40" t="s">
        <v>264</v>
      </c>
      <c r="F40" t="s">
        <v>38</v>
      </c>
      <c r="G40" t="s">
        <v>265</v>
      </c>
      <c r="H40" t="s">
        <v>266</v>
      </c>
      <c r="I40">
        <v>3</v>
      </c>
      <c r="J40">
        <v>30</v>
      </c>
      <c r="K40">
        <v>1.25</v>
      </c>
      <c r="L40">
        <v>8</v>
      </c>
      <c r="M40">
        <v>10</v>
      </c>
      <c r="N40">
        <v>48</v>
      </c>
      <c r="O40" t="s">
        <v>24</v>
      </c>
      <c r="P40" t="s">
        <v>25</v>
      </c>
    </row>
    <row r="41" spans="1:16" x14ac:dyDescent="0.25">
      <c r="A41" t="s">
        <v>267</v>
      </c>
      <c r="B41" t="s">
        <v>268</v>
      </c>
      <c r="C41" t="s">
        <v>50</v>
      </c>
      <c r="D41" t="s">
        <v>269</v>
      </c>
      <c r="E41" t="s">
        <v>270</v>
      </c>
      <c r="F41" t="s">
        <v>53</v>
      </c>
      <c r="G41" t="s">
        <v>271</v>
      </c>
      <c r="H41" t="s">
        <v>272</v>
      </c>
      <c r="I41">
        <v>1</v>
      </c>
      <c r="J41">
        <v>50</v>
      </c>
      <c r="K41">
        <v>1.25</v>
      </c>
      <c r="L41">
        <v>13</v>
      </c>
      <c r="M41">
        <v>10</v>
      </c>
      <c r="N41">
        <v>48</v>
      </c>
      <c r="O41" t="s">
        <v>24</v>
      </c>
      <c r="P41" t="s">
        <v>25</v>
      </c>
    </row>
    <row r="42" spans="1:16" x14ac:dyDescent="0.25">
      <c r="A42" t="s">
        <v>273</v>
      </c>
      <c r="B42" t="s">
        <v>274</v>
      </c>
      <c r="C42" t="s">
        <v>18</v>
      </c>
      <c r="D42" t="s">
        <v>275</v>
      </c>
      <c r="E42" t="s">
        <v>276</v>
      </c>
      <c r="F42" t="s">
        <v>62</v>
      </c>
      <c r="G42" t="s">
        <v>277</v>
      </c>
      <c r="H42" t="s">
        <v>278</v>
      </c>
      <c r="I42">
        <v>1.5</v>
      </c>
      <c r="J42">
        <v>135</v>
      </c>
      <c r="K42">
        <v>1.25</v>
      </c>
      <c r="L42">
        <v>34</v>
      </c>
      <c r="M42">
        <v>10</v>
      </c>
      <c r="N42">
        <v>179</v>
      </c>
      <c r="O42" t="s">
        <v>56</v>
      </c>
      <c r="P42" t="s">
        <v>57</v>
      </c>
    </row>
    <row r="43" spans="1:16" x14ac:dyDescent="0.25">
      <c r="A43" t="s">
        <v>279</v>
      </c>
      <c r="B43" t="s">
        <v>280</v>
      </c>
      <c r="C43" t="s">
        <v>28</v>
      </c>
      <c r="D43" t="s">
        <v>281</v>
      </c>
      <c r="E43" t="s">
        <v>282</v>
      </c>
      <c r="F43" t="s">
        <v>21</v>
      </c>
      <c r="G43" t="s">
        <v>283</v>
      </c>
      <c r="H43" t="s">
        <v>284</v>
      </c>
      <c r="I43">
        <v>36</v>
      </c>
      <c r="J43">
        <v>2160</v>
      </c>
      <c r="K43">
        <v>1.25</v>
      </c>
      <c r="L43">
        <v>540</v>
      </c>
      <c r="M43">
        <v>10</v>
      </c>
      <c r="N43">
        <v>2710</v>
      </c>
      <c r="O43" t="s">
        <v>65</v>
      </c>
      <c r="P43" t="s">
        <v>25</v>
      </c>
    </row>
    <row r="44" spans="1:16" x14ac:dyDescent="0.25">
      <c r="A44" t="s">
        <v>285</v>
      </c>
      <c r="B44" t="s">
        <v>286</v>
      </c>
      <c r="C44" t="s">
        <v>35</v>
      </c>
      <c r="D44" t="s">
        <v>287</v>
      </c>
      <c r="E44" t="s">
        <v>288</v>
      </c>
      <c r="F44" t="s">
        <v>21</v>
      </c>
      <c r="G44" t="s">
        <v>289</v>
      </c>
      <c r="H44" t="s">
        <v>290</v>
      </c>
      <c r="I44">
        <v>2.5</v>
      </c>
      <c r="J44">
        <v>88</v>
      </c>
      <c r="K44">
        <v>1</v>
      </c>
      <c r="L44">
        <v>0</v>
      </c>
      <c r="M44">
        <v>10</v>
      </c>
      <c r="N44">
        <v>98</v>
      </c>
      <c r="O44" t="s">
        <v>72</v>
      </c>
      <c r="P44" t="s">
        <v>73</v>
      </c>
    </row>
    <row r="45" spans="1:16" x14ac:dyDescent="0.25">
      <c r="A45" t="s">
        <v>291</v>
      </c>
      <c r="B45" t="s">
        <v>292</v>
      </c>
      <c r="C45" t="s">
        <v>43</v>
      </c>
      <c r="D45" t="s">
        <v>293</v>
      </c>
      <c r="E45" t="s">
        <v>294</v>
      </c>
      <c r="F45" t="s">
        <v>21</v>
      </c>
      <c r="G45" t="s">
        <v>295</v>
      </c>
      <c r="H45" t="s">
        <v>296</v>
      </c>
      <c r="I45">
        <v>3</v>
      </c>
      <c r="J45">
        <v>90</v>
      </c>
      <c r="K45">
        <v>1.25</v>
      </c>
      <c r="L45">
        <v>23</v>
      </c>
      <c r="M45">
        <v>10</v>
      </c>
      <c r="N45">
        <v>123</v>
      </c>
      <c r="O45" t="s">
        <v>80</v>
      </c>
      <c r="P45" t="s">
        <v>25</v>
      </c>
    </row>
    <row r="46" spans="1:16" x14ac:dyDescent="0.25">
      <c r="A46" t="s">
        <v>297</v>
      </c>
      <c r="B46" t="s">
        <v>298</v>
      </c>
      <c r="C46" t="s">
        <v>50</v>
      </c>
      <c r="D46" t="s">
        <v>299</v>
      </c>
      <c r="E46" t="s">
        <v>300</v>
      </c>
      <c r="F46" t="s">
        <v>38</v>
      </c>
      <c r="G46" t="s">
        <v>301</v>
      </c>
      <c r="H46" t="s">
        <v>302</v>
      </c>
      <c r="I46">
        <v>1</v>
      </c>
      <c r="J46">
        <v>20</v>
      </c>
      <c r="K46">
        <v>1.25</v>
      </c>
      <c r="L46">
        <v>5</v>
      </c>
      <c r="M46">
        <v>10</v>
      </c>
      <c r="N46">
        <v>35</v>
      </c>
      <c r="O46" t="s">
        <v>24</v>
      </c>
      <c r="P46" t="s">
        <v>25</v>
      </c>
    </row>
    <row r="47" spans="1:16" x14ac:dyDescent="0.25">
      <c r="A47" t="s">
        <v>303</v>
      </c>
      <c r="B47" t="s">
        <v>304</v>
      </c>
      <c r="C47" t="s">
        <v>18</v>
      </c>
      <c r="D47" t="s">
        <v>305</v>
      </c>
      <c r="E47" t="s">
        <v>306</v>
      </c>
      <c r="F47" t="s">
        <v>38</v>
      </c>
      <c r="G47" t="s">
        <v>307</v>
      </c>
      <c r="H47" t="s">
        <v>308</v>
      </c>
      <c r="I47">
        <v>1.5</v>
      </c>
      <c r="J47">
        <v>38</v>
      </c>
      <c r="K47">
        <v>1</v>
      </c>
      <c r="L47">
        <v>0</v>
      </c>
      <c r="M47">
        <v>10</v>
      </c>
      <c r="N47">
        <v>48</v>
      </c>
      <c r="O47" t="s">
        <v>24</v>
      </c>
      <c r="P47" t="s">
        <v>25</v>
      </c>
    </row>
    <row r="48" spans="1:16" x14ac:dyDescent="0.25">
      <c r="A48" t="s">
        <v>309</v>
      </c>
      <c r="B48" t="s">
        <v>310</v>
      </c>
      <c r="C48" t="s">
        <v>28</v>
      </c>
      <c r="D48" t="s">
        <v>311</v>
      </c>
      <c r="E48" t="s">
        <v>312</v>
      </c>
      <c r="F48" t="s">
        <v>53</v>
      </c>
      <c r="G48" t="s">
        <v>313</v>
      </c>
      <c r="H48" t="s">
        <v>314</v>
      </c>
      <c r="I48">
        <v>2</v>
      </c>
      <c r="J48">
        <v>140</v>
      </c>
      <c r="K48">
        <v>1.25</v>
      </c>
      <c r="L48">
        <v>35</v>
      </c>
      <c r="M48">
        <v>10</v>
      </c>
      <c r="N48">
        <v>185</v>
      </c>
      <c r="O48" t="s">
        <v>24</v>
      </c>
      <c r="P48" t="s">
        <v>25</v>
      </c>
    </row>
    <row r="49" spans="1:16" x14ac:dyDescent="0.25">
      <c r="A49" t="s">
        <v>315</v>
      </c>
      <c r="B49" t="s">
        <v>316</v>
      </c>
      <c r="C49" t="s">
        <v>35</v>
      </c>
      <c r="D49" t="s">
        <v>317</v>
      </c>
      <c r="E49" t="s">
        <v>318</v>
      </c>
      <c r="F49" t="s">
        <v>62</v>
      </c>
      <c r="G49" t="s">
        <v>319</v>
      </c>
      <c r="H49" t="s">
        <v>320</v>
      </c>
      <c r="I49">
        <v>2.5</v>
      </c>
      <c r="J49">
        <v>158</v>
      </c>
      <c r="K49">
        <v>1.25</v>
      </c>
      <c r="L49">
        <v>40</v>
      </c>
      <c r="M49">
        <v>10</v>
      </c>
      <c r="N49">
        <v>208</v>
      </c>
      <c r="O49" t="s">
        <v>24</v>
      </c>
      <c r="P49" t="s">
        <v>25</v>
      </c>
    </row>
    <row r="50" spans="1:16" x14ac:dyDescent="0.25">
      <c r="A50" t="s">
        <v>321</v>
      </c>
      <c r="B50" t="s">
        <v>322</v>
      </c>
      <c r="C50" t="s">
        <v>43</v>
      </c>
      <c r="D50" t="s">
        <v>323</v>
      </c>
      <c r="E50" t="s">
        <v>324</v>
      </c>
      <c r="F50" t="s">
        <v>21</v>
      </c>
      <c r="G50" t="s">
        <v>325</v>
      </c>
      <c r="H50" t="s">
        <v>326</v>
      </c>
      <c r="I50">
        <v>3</v>
      </c>
      <c r="J50">
        <v>90</v>
      </c>
      <c r="K50">
        <v>1</v>
      </c>
      <c r="L50">
        <v>0</v>
      </c>
      <c r="M50">
        <v>10</v>
      </c>
      <c r="N50">
        <v>100</v>
      </c>
      <c r="O50" t="s">
        <v>24</v>
      </c>
      <c r="P50" t="s">
        <v>25</v>
      </c>
    </row>
    <row r="51" spans="1:16" x14ac:dyDescent="0.25">
      <c r="A51" t="s">
        <v>327</v>
      </c>
      <c r="B51" t="s">
        <v>328</v>
      </c>
      <c r="C51" t="s">
        <v>50</v>
      </c>
      <c r="D51" t="s">
        <v>329</v>
      </c>
      <c r="E51" t="s">
        <v>330</v>
      </c>
      <c r="F51" t="s">
        <v>21</v>
      </c>
      <c r="G51" t="s">
        <v>331</v>
      </c>
      <c r="H51" t="s">
        <v>332</v>
      </c>
      <c r="I51">
        <v>1</v>
      </c>
      <c r="J51">
        <v>40</v>
      </c>
      <c r="K51">
        <v>1.25</v>
      </c>
      <c r="L51">
        <v>10</v>
      </c>
      <c r="M51">
        <v>10</v>
      </c>
      <c r="N51">
        <v>35</v>
      </c>
      <c r="O51" t="s">
        <v>56</v>
      </c>
      <c r="P51" t="s">
        <v>57</v>
      </c>
    </row>
    <row r="52" spans="1:16" x14ac:dyDescent="0.25">
      <c r="A52" t="s">
        <v>333</v>
      </c>
      <c r="B52" t="s">
        <v>334</v>
      </c>
      <c r="C52" t="s">
        <v>18</v>
      </c>
      <c r="D52" t="s">
        <v>335</v>
      </c>
      <c r="E52" t="s">
        <v>336</v>
      </c>
      <c r="F52" t="s">
        <v>21</v>
      </c>
      <c r="G52" t="s">
        <v>337</v>
      </c>
      <c r="H52" t="s">
        <v>338</v>
      </c>
      <c r="I52">
        <v>1.5</v>
      </c>
      <c r="J52">
        <v>75</v>
      </c>
      <c r="K52">
        <v>1.25</v>
      </c>
      <c r="L52">
        <v>19</v>
      </c>
      <c r="M52">
        <v>10</v>
      </c>
      <c r="N52">
        <v>104</v>
      </c>
      <c r="O52" t="s">
        <v>65</v>
      </c>
      <c r="P52" t="s">
        <v>25</v>
      </c>
    </row>
    <row r="53" spans="1:16" x14ac:dyDescent="0.25">
      <c r="A53" t="s">
        <v>339</v>
      </c>
      <c r="B53" t="s">
        <v>340</v>
      </c>
      <c r="C53" t="s">
        <v>28</v>
      </c>
      <c r="D53" t="s">
        <v>341</v>
      </c>
      <c r="E53" t="s">
        <v>342</v>
      </c>
      <c r="F53" t="s">
        <v>38</v>
      </c>
      <c r="G53" t="s">
        <v>343</v>
      </c>
      <c r="H53" t="s">
        <v>344</v>
      </c>
      <c r="I53">
        <v>2</v>
      </c>
      <c r="J53">
        <v>60</v>
      </c>
      <c r="K53">
        <v>1.25</v>
      </c>
      <c r="L53">
        <v>15</v>
      </c>
      <c r="M53">
        <v>10</v>
      </c>
      <c r="N53">
        <v>85</v>
      </c>
      <c r="O53" t="s">
        <v>72</v>
      </c>
      <c r="P53" t="s">
        <v>73</v>
      </c>
    </row>
    <row r="54" spans="1:16" x14ac:dyDescent="0.25">
      <c r="A54" t="s">
        <v>345</v>
      </c>
      <c r="B54" t="s">
        <v>346</v>
      </c>
      <c r="C54" t="s">
        <v>35</v>
      </c>
      <c r="D54" t="s">
        <v>347</v>
      </c>
      <c r="E54" t="s">
        <v>348</v>
      </c>
      <c r="F54" t="s">
        <v>38</v>
      </c>
      <c r="G54" t="s">
        <v>349</v>
      </c>
      <c r="H54" t="s">
        <v>350</v>
      </c>
      <c r="I54">
        <v>2.5</v>
      </c>
      <c r="J54">
        <v>38</v>
      </c>
      <c r="K54">
        <v>1</v>
      </c>
      <c r="L54">
        <v>0</v>
      </c>
      <c r="M54">
        <v>10</v>
      </c>
      <c r="N54">
        <v>48</v>
      </c>
      <c r="O54" t="s">
        <v>80</v>
      </c>
      <c r="P54" t="s">
        <v>25</v>
      </c>
    </row>
    <row r="55" spans="1:16" x14ac:dyDescent="0.25">
      <c r="A55" t="s">
        <v>351</v>
      </c>
      <c r="B55" t="s">
        <v>352</v>
      </c>
      <c r="C55" t="s">
        <v>43</v>
      </c>
      <c r="D55" t="s">
        <v>353</v>
      </c>
      <c r="E55" t="s">
        <v>354</v>
      </c>
      <c r="F55" t="s">
        <v>53</v>
      </c>
      <c r="G55" t="s">
        <v>355</v>
      </c>
      <c r="H55" t="s">
        <v>356</v>
      </c>
      <c r="I55">
        <v>3</v>
      </c>
      <c r="J55">
        <v>120</v>
      </c>
      <c r="K55">
        <v>1.25</v>
      </c>
      <c r="L55">
        <v>30</v>
      </c>
      <c r="M55">
        <v>10</v>
      </c>
      <c r="N55">
        <v>160</v>
      </c>
      <c r="O55" t="s">
        <v>24</v>
      </c>
      <c r="P55" t="s">
        <v>25</v>
      </c>
    </row>
    <row r="56" spans="1:16" x14ac:dyDescent="0.25">
      <c r="A56" t="s">
        <v>357</v>
      </c>
      <c r="B56" t="s">
        <v>358</v>
      </c>
      <c r="C56" t="s">
        <v>50</v>
      </c>
      <c r="D56" t="s">
        <v>359</v>
      </c>
      <c r="E56" t="s">
        <v>360</v>
      </c>
      <c r="F56" t="s">
        <v>62</v>
      </c>
      <c r="G56" t="s">
        <v>361</v>
      </c>
      <c r="H56" t="s">
        <v>362</v>
      </c>
      <c r="I56">
        <v>1</v>
      </c>
      <c r="J56">
        <v>72</v>
      </c>
      <c r="K56">
        <v>1.25</v>
      </c>
      <c r="L56">
        <v>18</v>
      </c>
      <c r="M56">
        <v>10</v>
      </c>
      <c r="N56">
        <v>75</v>
      </c>
      <c r="O56" t="s">
        <v>24</v>
      </c>
      <c r="P56" t="s">
        <v>25</v>
      </c>
    </row>
    <row r="57" spans="1:16" x14ac:dyDescent="0.25">
      <c r="A57" t="s">
        <v>363</v>
      </c>
      <c r="B57" t="s">
        <v>364</v>
      </c>
      <c r="C57" t="s">
        <v>18</v>
      </c>
      <c r="D57" t="s">
        <v>365</v>
      </c>
      <c r="E57" t="s">
        <v>366</v>
      </c>
      <c r="F57" t="s">
        <v>21</v>
      </c>
      <c r="G57" t="s">
        <v>367</v>
      </c>
      <c r="H57" t="s">
        <v>368</v>
      </c>
      <c r="I57">
        <v>1.5</v>
      </c>
      <c r="J57">
        <v>75</v>
      </c>
      <c r="K57">
        <v>1.25</v>
      </c>
      <c r="L57">
        <v>19</v>
      </c>
      <c r="M57">
        <v>10</v>
      </c>
      <c r="N57">
        <v>104</v>
      </c>
      <c r="O57" t="s">
        <v>24</v>
      </c>
      <c r="P57" t="s">
        <v>25</v>
      </c>
    </row>
    <row r="58" spans="1:16" x14ac:dyDescent="0.25">
      <c r="A58" t="s">
        <v>369</v>
      </c>
      <c r="B58" t="s">
        <v>370</v>
      </c>
      <c r="C58" t="s">
        <v>28</v>
      </c>
      <c r="D58" t="s">
        <v>371</v>
      </c>
      <c r="E58" t="s">
        <v>372</v>
      </c>
      <c r="F58" t="s">
        <v>21</v>
      </c>
      <c r="G58" t="s">
        <v>373</v>
      </c>
      <c r="H58" t="s">
        <v>374</v>
      </c>
      <c r="I58">
        <v>2</v>
      </c>
      <c r="J58">
        <v>120</v>
      </c>
      <c r="K58">
        <v>1.25</v>
      </c>
      <c r="L58">
        <v>30</v>
      </c>
      <c r="M58">
        <v>10</v>
      </c>
      <c r="N58">
        <v>160</v>
      </c>
      <c r="O58" t="s">
        <v>24</v>
      </c>
      <c r="P58" t="s">
        <v>25</v>
      </c>
    </row>
    <row r="59" spans="1:16" x14ac:dyDescent="0.25">
      <c r="A59" t="s">
        <v>375</v>
      </c>
      <c r="B59" t="s">
        <v>376</v>
      </c>
      <c r="C59" t="s">
        <v>35</v>
      </c>
      <c r="D59" t="s">
        <v>377</v>
      </c>
      <c r="E59" t="s">
        <v>378</v>
      </c>
      <c r="F59" t="s">
        <v>21</v>
      </c>
      <c r="G59" t="s">
        <v>379</v>
      </c>
      <c r="H59" t="s">
        <v>380</v>
      </c>
      <c r="I59">
        <v>2.5</v>
      </c>
      <c r="J59">
        <v>88</v>
      </c>
      <c r="K59">
        <v>1.25</v>
      </c>
      <c r="L59">
        <v>22</v>
      </c>
      <c r="M59">
        <v>10</v>
      </c>
      <c r="N59">
        <v>120</v>
      </c>
      <c r="O59" t="s">
        <v>24</v>
      </c>
      <c r="P59" t="s">
        <v>25</v>
      </c>
    </row>
    <row r="60" spans="1:16" x14ac:dyDescent="0.25">
      <c r="A60" t="s">
        <v>381</v>
      </c>
      <c r="B60" t="s">
        <v>382</v>
      </c>
      <c r="C60" t="s">
        <v>43</v>
      </c>
      <c r="D60" t="s">
        <v>383</v>
      </c>
      <c r="E60" t="s">
        <v>384</v>
      </c>
      <c r="F60" t="s">
        <v>38</v>
      </c>
      <c r="G60" t="s">
        <v>385</v>
      </c>
      <c r="H60" t="s">
        <v>386</v>
      </c>
      <c r="I60">
        <v>3</v>
      </c>
      <c r="J60">
        <v>30</v>
      </c>
      <c r="K60">
        <v>1.25</v>
      </c>
      <c r="L60">
        <v>8</v>
      </c>
      <c r="M60">
        <v>10</v>
      </c>
      <c r="N60">
        <v>48</v>
      </c>
      <c r="O60" t="s">
        <v>56</v>
      </c>
      <c r="P60" t="s">
        <v>57</v>
      </c>
    </row>
    <row r="61" spans="1:16" x14ac:dyDescent="0.25">
      <c r="A61" t="s">
        <v>387</v>
      </c>
      <c r="B61" t="s">
        <v>388</v>
      </c>
      <c r="C61" t="s">
        <v>50</v>
      </c>
      <c r="D61" t="s">
        <v>389</v>
      </c>
      <c r="E61" t="s">
        <v>390</v>
      </c>
      <c r="F61" t="s">
        <v>38</v>
      </c>
      <c r="G61" t="s">
        <v>391</v>
      </c>
      <c r="H61" t="s">
        <v>392</v>
      </c>
      <c r="I61">
        <v>1</v>
      </c>
      <c r="J61">
        <v>20</v>
      </c>
      <c r="K61">
        <v>1.25</v>
      </c>
      <c r="L61">
        <v>5</v>
      </c>
      <c r="M61">
        <v>10</v>
      </c>
      <c r="N61">
        <v>10</v>
      </c>
      <c r="O61" t="s">
        <v>65</v>
      </c>
      <c r="P61" t="s">
        <v>25</v>
      </c>
    </row>
    <row r="62" spans="1:16" x14ac:dyDescent="0.25">
      <c r="A62" t="s">
        <v>393</v>
      </c>
      <c r="B62" t="s">
        <v>394</v>
      </c>
      <c r="C62" t="s">
        <v>18</v>
      </c>
      <c r="D62" t="s">
        <v>19</v>
      </c>
      <c r="E62" t="s">
        <v>395</v>
      </c>
      <c r="F62" t="s">
        <v>53</v>
      </c>
      <c r="G62" t="s">
        <v>396</v>
      </c>
      <c r="H62" t="s">
        <v>397</v>
      </c>
      <c r="I62">
        <v>1.5</v>
      </c>
      <c r="J62">
        <v>90</v>
      </c>
      <c r="K62">
        <v>1.25</v>
      </c>
      <c r="L62">
        <v>23</v>
      </c>
      <c r="M62">
        <v>10</v>
      </c>
      <c r="N62">
        <v>123</v>
      </c>
      <c r="O62" t="s">
        <v>72</v>
      </c>
      <c r="P62" t="s">
        <v>73</v>
      </c>
    </row>
    <row r="63" spans="1:16" x14ac:dyDescent="0.25">
      <c r="A63" t="s">
        <v>398</v>
      </c>
      <c r="B63" t="s">
        <v>399</v>
      </c>
      <c r="C63" t="s">
        <v>28</v>
      </c>
      <c r="D63" t="s">
        <v>29</v>
      </c>
      <c r="E63" t="s">
        <v>400</v>
      </c>
      <c r="F63" t="s">
        <v>62</v>
      </c>
      <c r="G63" t="s">
        <v>401</v>
      </c>
      <c r="H63" t="s">
        <v>402</v>
      </c>
      <c r="I63">
        <v>2</v>
      </c>
      <c r="J63">
        <v>216</v>
      </c>
      <c r="K63">
        <v>1.25</v>
      </c>
      <c r="L63">
        <v>54</v>
      </c>
      <c r="M63">
        <v>10</v>
      </c>
      <c r="N63">
        <v>280</v>
      </c>
      <c r="O63" t="s">
        <v>80</v>
      </c>
      <c r="P63" t="s">
        <v>25</v>
      </c>
    </row>
    <row r="64" spans="1:16" x14ac:dyDescent="0.25">
      <c r="A64" t="s">
        <v>403</v>
      </c>
      <c r="B64" t="s">
        <v>404</v>
      </c>
      <c r="C64" t="s">
        <v>35</v>
      </c>
      <c r="D64" t="s">
        <v>36</v>
      </c>
      <c r="E64" t="s">
        <v>405</v>
      </c>
      <c r="F64" t="s">
        <v>21</v>
      </c>
      <c r="G64" t="s">
        <v>406</v>
      </c>
      <c r="H64" t="s">
        <v>407</v>
      </c>
      <c r="I64">
        <v>2.5</v>
      </c>
      <c r="J64">
        <v>88</v>
      </c>
      <c r="K64">
        <v>1.25</v>
      </c>
      <c r="L64">
        <v>22</v>
      </c>
      <c r="M64">
        <v>10</v>
      </c>
      <c r="N64">
        <v>120</v>
      </c>
      <c r="O64" t="s">
        <v>24</v>
      </c>
      <c r="P64" t="s">
        <v>25</v>
      </c>
    </row>
    <row r="65" spans="1:16" x14ac:dyDescent="0.25">
      <c r="A65" t="s">
        <v>408</v>
      </c>
      <c r="B65" t="s">
        <v>409</v>
      </c>
      <c r="C65" t="s">
        <v>43</v>
      </c>
      <c r="D65" t="s">
        <v>44</v>
      </c>
      <c r="E65" t="s">
        <v>410</v>
      </c>
      <c r="F65" t="s">
        <v>21</v>
      </c>
      <c r="G65" t="s">
        <v>411</v>
      </c>
      <c r="H65" t="s">
        <v>412</v>
      </c>
      <c r="I65">
        <v>3</v>
      </c>
      <c r="J65">
        <v>90</v>
      </c>
      <c r="K65">
        <v>1.25</v>
      </c>
      <c r="L65">
        <v>23</v>
      </c>
      <c r="M65">
        <v>10</v>
      </c>
      <c r="N65">
        <v>123</v>
      </c>
      <c r="O65" t="s">
        <v>24</v>
      </c>
      <c r="P65" t="s">
        <v>25</v>
      </c>
    </row>
    <row r="66" spans="1:16" x14ac:dyDescent="0.25">
      <c r="A66" t="s">
        <v>413</v>
      </c>
      <c r="B66" t="s">
        <v>414</v>
      </c>
      <c r="C66" t="s">
        <v>50</v>
      </c>
      <c r="D66" t="s">
        <v>51</v>
      </c>
      <c r="E66" t="s">
        <v>415</v>
      </c>
      <c r="F66" t="s">
        <v>21</v>
      </c>
      <c r="G66" t="s">
        <v>416</v>
      </c>
      <c r="H66" t="s">
        <v>417</v>
      </c>
      <c r="I66">
        <v>1</v>
      </c>
      <c r="J66">
        <v>40</v>
      </c>
      <c r="K66">
        <v>1.25</v>
      </c>
      <c r="L66">
        <v>10</v>
      </c>
      <c r="M66">
        <v>10</v>
      </c>
      <c r="N66">
        <v>35</v>
      </c>
      <c r="O66" t="s">
        <v>24</v>
      </c>
      <c r="P66" t="s">
        <v>25</v>
      </c>
    </row>
    <row r="67" spans="1:16" x14ac:dyDescent="0.25">
      <c r="A67" t="s">
        <v>418</v>
      </c>
      <c r="B67" t="s">
        <v>419</v>
      </c>
      <c r="C67" t="s">
        <v>18</v>
      </c>
      <c r="D67" t="s">
        <v>60</v>
      </c>
      <c r="E67" t="s">
        <v>420</v>
      </c>
      <c r="F67" t="s">
        <v>38</v>
      </c>
      <c r="G67" t="s">
        <v>421</v>
      </c>
      <c r="H67" t="s">
        <v>422</v>
      </c>
      <c r="I67">
        <v>1.5</v>
      </c>
      <c r="J67">
        <v>38</v>
      </c>
      <c r="K67">
        <v>1.25</v>
      </c>
      <c r="L67">
        <v>10</v>
      </c>
      <c r="M67">
        <v>10</v>
      </c>
      <c r="N67">
        <v>58</v>
      </c>
      <c r="O67" t="s">
        <v>24</v>
      </c>
      <c r="P67" t="s">
        <v>25</v>
      </c>
    </row>
    <row r="68" spans="1:16" x14ac:dyDescent="0.25">
      <c r="A68" t="s">
        <v>423</v>
      </c>
      <c r="B68" t="s">
        <v>424</v>
      </c>
      <c r="C68" t="s">
        <v>28</v>
      </c>
      <c r="D68" t="s">
        <v>68</v>
      </c>
      <c r="E68" t="s">
        <v>425</v>
      </c>
      <c r="F68" t="s">
        <v>38</v>
      </c>
      <c r="G68" t="s">
        <v>426</v>
      </c>
      <c r="H68" t="s">
        <v>427</v>
      </c>
      <c r="I68">
        <v>2</v>
      </c>
      <c r="J68">
        <v>60</v>
      </c>
      <c r="K68">
        <v>1</v>
      </c>
      <c r="L68">
        <v>0</v>
      </c>
      <c r="M68">
        <v>10</v>
      </c>
      <c r="N68">
        <v>70</v>
      </c>
      <c r="O68" t="s">
        <v>24</v>
      </c>
      <c r="P68" t="s">
        <v>25</v>
      </c>
    </row>
    <row r="69" spans="1:16" x14ac:dyDescent="0.25">
      <c r="A69" t="s">
        <v>428</v>
      </c>
      <c r="B69" t="s">
        <v>429</v>
      </c>
      <c r="C69" t="s">
        <v>35</v>
      </c>
      <c r="D69" t="s">
        <v>76</v>
      </c>
      <c r="E69" t="s">
        <v>430</v>
      </c>
      <c r="F69" t="s">
        <v>53</v>
      </c>
      <c r="G69" t="s">
        <v>431</v>
      </c>
      <c r="H69" t="s">
        <v>432</v>
      </c>
      <c r="I69">
        <v>2.5</v>
      </c>
      <c r="J69">
        <v>113</v>
      </c>
      <c r="K69">
        <v>1.25</v>
      </c>
      <c r="L69">
        <v>28</v>
      </c>
      <c r="M69">
        <v>10</v>
      </c>
      <c r="N69">
        <v>151</v>
      </c>
      <c r="O69" t="s">
        <v>56</v>
      </c>
      <c r="P69" t="s">
        <v>57</v>
      </c>
    </row>
    <row r="70" spans="1:16" x14ac:dyDescent="0.25">
      <c r="A70" t="s">
        <v>433</v>
      </c>
      <c r="B70" t="s">
        <v>434</v>
      </c>
      <c r="C70" t="s">
        <v>43</v>
      </c>
      <c r="D70" t="s">
        <v>83</v>
      </c>
      <c r="E70" t="s">
        <v>435</v>
      </c>
      <c r="F70" t="s">
        <v>62</v>
      </c>
      <c r="G70" t="s">
        <v>436</v>
      </c>
      <c r="H70" t="s">
        <v>437</v>
      </c>
      <c r="I70">
        <v>3</v>
      </c>
      <c r="J70">
        <v>162</v>
      </c>
      <c r="K70">
        <v>1.25</v>
      </c>
      <c r="L70">
        <v>41</v>
      </c>
      <c r="M70">
        <v>10</v>
      </c>
      <c r="N70">
        <v>213</v>
      </c>
      <c r="O70" t="s">
        <v>65</v>
      </c>
      <c r="P70" t="s">
        <v>25</v>
      </c>
    </row>
    <row r="71" spans="1:16" x14ac:dyDescent="0.25">
      <c r="A71" t="s">
        <v>438</v>
      </c>
      <c r="B71" t="s">
        <v>439</v>
      </c>
      <c r="C71" t="s">
        <v>50</v>
      </c>
      <c r="D71" t="s">
        <v>89</v>
      </c>
      <c r="E71" t="s">
        <v>440</v>
      </c>
      <c r="F71" t="s">
        <v>21</v>
      </c>
      <c r="G71" t="s">
        <v>441</v>
      </c>
      <c r="H71" t="s">
        <v>442</v>
      </c>
      <c r="I71">
        <v>1</v>
      </c>
      <c r="J71">
        <v>40</v>
      </c>
      <c r="K71">
        <v>1</v>
      </c>
      <c r="L71">
        <v>0</v>
      </c>
      <c r="M71">
        <v>10</v>
      </c>
      <c r="N71">
        <v>50</v>
      </c>
      <c r="O71" t="s">
        <v>72</v>
      </c>
      <c r="P71" t="s">
        <v>73</v>
      </c>
    </row>
    <row r="72" spans="1:16" x14ac:dyDescent="0.25">
      <c r="A72" t="s">
        <v>443</v>
      </c>
      <c r="B72" t="s">
        <v>444</v>
      </c>
      <c r="C72" t="s">
        <v>18</v>
      </c>
      <c r="D72" t="s">
        <v>95</v>
      </c>
      <c r="E72" t="s">
        <v>445</v>
      </c>
      <c r="F72" t="s">
        <v>21</v>
      </c>
      <c r="G72" t="s">
        <v>446</v>
      </c>
      <c r="H72" t="s">
        <v>447</v>
      </c>
      <c r="I72">
        <v>1.5</v>
      </c>
      <c r="J72">
        <v>75</v>
      </c>
      <c r="K72">
        <v>1</v>
      </c>
      <c r="L72">
        <v>0</v>
      </c>
      <c r="M72">
        <v>10</v>
      </c>
      <c r="N72">
        <v>85</v>
      </c>
      <c r="O72" t="s">
        <v>80</v>
      </c>
      <c r="P72" t="s">
        <v>25</v>
      </c>
    </row>
    <row r="73" spans="1:16" x14ac:dyDescent="0.25">
      <c r="A73" t="s">
        <v>448</v>
      </c>
      <c r="B73" t="s">
        <v>449</v>
      </c>
      <c r="C73" t="s">
        <v>28</v>
      </c>
      <c r="D73" t="s">
        <v>101</v>
      </c>
      <c r="E73" t="s">
        <v>450</v>
      </c>
      <c r="F73" t="s">
        <v>21</v>
      </c>
      <c r="G73" t="s">
        <v>451</v>
      </c>
      <c r="H73" t="s">
        <v>452</v>
      </c>
      <c r="I73">
        <v>2</v>
      </c>
      <c r="J73">
        <v>120</v>
      </c>
      <c r="K73">
        <v>1.25</v>
      </c>
      <c r="L73">
        <v>30</v>
      </c>
      <c r="M73">
        <v>10</v>
      </c>
      <c r="N73">
        <v>160</v>
      </c>
      <c r="O73" t="s">
        <v>24</v>
      </c>
      <c r="P73" t="s">
        <v>25</v>
      </c>
    </row>
    <row r="74" spans="1:16" x14ac:dyDescent="0.25">
      <c r="A74" t="s">
        <v>453</v>
      </c>
      <c r="B74" t="s">
        <v>454</v>
      </c>
      <c r="C74" t="s">
        <v>35</v>
      </c>
      <c r="D74" t="s">
        <v>107</v>
      </c>
      <c r="E74" t="s">
        <v>455</v>
      </c>
      <c r="F74" t="s">
        <v>38</v>
      </c>
      <c r="G74" t="s">
        <v>456</v>
      </c>
      <c r="H74" t="s">
        <v>457</v>
      </c>
      <c r="I74">
        <v>2.5</v>
      </c>
      <c r="J74">
        <v>38</v>
      </c>
      <c r="K74">
        <v>1.25</v>
      </c>
      <c r="L74">
        <v>10</v>
      </c>
      <c r="M74">
        <v>10</v>
      </c>
      <c r="N74">
        <v>58</v>
      </c>
      <c r="O74" t="s">
        <v>24</v>
      </c>
      <c r="P74" t="s">
        <v>25</v>
      </c>
    </row>
    <row r="75" spans="1:16" x14ac:dyDescent="0.25">
      <c r="A75" t="s">
        <v>458</v>
      </c>
      <c r="B75" t="s">
        <v>459</v>
      </c>
      <c r="C75" t="s">
        <v>43</v>
      </c>
      <c r="D75" t="s">
        <v>113</v>
      </c>
      <c r="E75" t="s">
        <v>460</v>
      </c>
      <c r="F75" t="s">
        <v>38</v>
      </c>
      <c r="G75" t="s">
        <v>461</v>
      </c>
      <c r="H75" t="s">
        <v>462</v>
      </c>
      <c r="I75">
        <v>3</v>
      </c>
      <c r="J75">
        <v>30</v>
      </c>
      <c r="K75">
        <v>1</v>
      </c>
      <c r="L75">
        <v>0</v>
      </c>
      <c r="M75">
        <v>10</v>
      </c>
      <c r="N75">
        <v>40</v>
      </c>
      <c r="O75" t="s">
        <v>24</v>
      </c>
      <c r="P75" t="s">
        <v>25</v>
      </c>
    </row>
    <row r="76" spans="1:16" x14ac:dyDescent="0.25">
      <c r="A76" t="s">
        <v>463</v>
      </c>
      <c r="B76" t="s">
        <v>464</v>
      </c>
      <c r="C76" t="s">
        <v>50</v>
      </c>
      <c r="D76" t="s">
        <v>119</v>
      </c>
      <c r="E76" t="s">
        <v>465</v>
      </c>
      <c r="F76" t="s">
        <v>53</v>
      </c>
      <c r="G76" t="s">
        <v>466</v>
      </c>
      <c r="H76" t="s">
        <v>467</v>
      </c>
      <c r="I76">
        <v>1</v>
      </c>
      <c r="J76">
        <v>50</v>
      </c>
      <c r="K76">
        <v>1.25</v>
      </c>
      <c r="L76">
        <v>13</v>
      </c>
      <c r="M76">
        <v>10</v>
      </c>
      <c r="N76">
        <v>48</v>
      </c>
      <c r="O76" t="s">
        <v>24</v>
      </c>
      <c r="P76" t="s">
        <v>25</v>
      </c>
    </row>
    <row r="77" spans="1:16" x14ac:dyDescent="0.25">
      <c r="A77" t="s">
        <v>468</v>
      </c>
      <c r="B77" t="s">
        <v>469</v>
      </c>
      <c r="C77" t="s">
        <v>18</v>
      </c>
      <c r="D77" t="s">
        <v>125</v>
      </c>
      <c r="E77" t="s">
        <v>470</v>
      </c>
      <c r="F77" t="s">
        <v>62</v>
      </c>
      <c r="G77" t="s">
        <v>471</v>
      </c>
      <c r="H77" t="s">
        <v>472</v>
      </c>
      <c r="I77">
        <v>1.5</v>
      </c>
      <c r="J77">
        <v>135</v>
      </c>
      <c r="K77">
        <v>1.25</v>
      </c>
      <c r="L77">
        <v>34</v>
      </c>
      <c r="M77">
        <v>10</v>
      </c>
      <c r="N77">
        <v>179</v>
      </c>
      <c r="O77" t="s">
        <v>24</v>
      </c>
      <c r="P77" t="s">
        <v>25</v>
      </c>
    </row>
    <row r="78" spans="1:16" x14ac:dyDescent="0.25">
      <c r="A78" t="s">
        <v>473</v>
      </c>
      <c r="B78" t="s">
        <v>474</v>
      </c>
      <c r="C78" t="s">
        <v>28</v>
      </c>
      <c r="D78" t="s">
        <v>131</v>
      </c>
      <c r="E78" t="s">
        <v>475</v>
      </c>
      <c r="F78" t="s">
        <v>21</v>
      </c>
      <c r="G78" t="s">
        <v>476</v>
      </c>
      <c r="H78" t="s">
        <v>477</v>
      </c>
      <c r="I78">
        <v>2</v>
      </c>
      <c r="J78">
        <v>120</v>
      </c>
      <c r="K78">
        <v>1</v>
      </c>
      <c r="L78">
        <v>0</v>
      </c>
      <c r="M78">
        <v>10</v>
      </c>
      <c r="N78">
        <v>130</v>
      </c>
      <c r="O78" t="s">
        <v>56</v>
      </c>
      <c r="P78" t="s">
        <v>57</v>
      </c>
    </row>
    <row r="79" spans="1:16" x14ac:dyDescent="0.25">
      <c r="A79" t="s">
        <v>478</v>
      </c>
      <c r="B79" t="s">
        <v>479</v>
      </c>
      <c r="C79" t="s">
        <v>35</v>
      </c>
      <c r="D79" t="s">
        <v>137</v>
      </c>
      <c r="E79" t="s">
        <v>480</v>
      </c>
      <c r="F79" t="s">
        <v>21</v>
      </c>
      <c r="G79" t="s">
        <v>481</v>
      </c>
      <c r="H79" t="s">
        <v>482</v>
      </c>
      <c r="I79">
        <v>2.5</v>
      </c>
      <c r="J79">
        <v>88</v>
      </c>
      <c r="K79">
        <v>1.25</v>
      </c>
      <c r="L79">
        <v>22</v>
      </c>
      <c r="M79">
        <v>10</v>
      </c>
      <c r="N79">
        <v>120</v>
      </c>
      <c r="O79" t="s">
        <v>65</v>
      </c>
      <c r="P79" t="s">
        <v>25</v>
      </c>
    </row>
    <row r="80" spans="1:16" x14ac:dyDescent="0.25">
      <c r="A80" t="s">
        <v>483</v>
      </c>
      <c r="B80" t="s">
        <v>484</v>
      </c>
      <c r="C80" t="s">
        <v>43</v>
      </c>
      <c r="D80" t="s">
        <v>143</v>
      </c>
      <c r="E80" t="s">
        <v>485</v>
      </c>
      <c r="F80" t="s">
        <v>21</v>
      </c>
      <c r="G80" t="s">
        <v>486</v>
      </c>
      <c r="H80" t="s">
        <v>487</v>
      </c>
      <c r="I80">
        <v>3</v>
      </c>
      <c r="J80">
        <v>90</v>
      </c>
      <c r="K80">
        <v>1.25</v>
      </c>
      <c r="L80">
        <v>23</v>
      </c>
      <c r="M80">
        <v>10</v>
      </c>
      <c r="N80">
        <v>123</v>
      </c>
      <c r="O80" t="s">
        <v>72</v>
      </c>
      <c r="P80" t="s">
        <v>73</v>
      </c>
    </row>
    <row r="81" spans="1:16" x14ac:dyDescent="0.25">
      <c r="A81" t="s">
        <v>488</v>
      </c>
      <c r="B81" t="s">
        <v>489</v>
      </c>
      <c r="C81" t="s">
        <v>50</v>
      </c>
      <c r="D81" t="s">
        <v>149</v>
      </c>
      <c r="E81" t="s">
        <v>490</v>
      </c>
      <c r="F81" t="s">
        <v>38</v>
      </c>
      <c r="G81" t="s">
        <v>491</v>
      </c>
      <c r="H81" t="s">
        <v>492</v>
      </c>
      <c r="I81">
        <v>1</v>
      </c>
      <c r="J81">
        <v>20</v>
      </c>
      <c r="K81">
        <v>1.25</v>
      </c>
      <c r="L81">
        <v>5</v>
      </c>
      <c r="M81">
        <v>10</v>
      </c>
      <c r="N81">
        <v>35</v>
      </c>
      <c r="O81" t="s">
        <v>80</v>
      </c>
      <c r="P81" t="s">
        <v>25</v>
      </c>
    </row>
    <row r="82" spans="1:16" x14ac:dyDescent="0.25">
      <c r="A82" t="s">
        <v>493</v>
      </c>
      <c r="B82" t="s">
        <v>494</v>
      </c>
      <c r="C82" t="s">
        <v>18</v>
      </c>
      <c r="D82" t="s">
        <v>155</v>
      </c>
      <c r="E82" t="s">
        <v>495</v>
      </c>
      <c r="F82" t="s">
        <v>38</v>
      </c>
      <c r="G82" t="s">
        <v>496</v>
      </c>
      <c r="H82" t="s">
        <v>497</v>
      </c>
      <c r="I82">
        <v>1.5</v>
      </c>
      <c r="J82">
        <v>38</v>
      </c>
      <c r="K82">
        <v>1.25</v>
      </c>
      <c r="L82">
        <v>10</v>
      </c>
      <c r="M82">
        <v>10</v>
      </c>
      <c r="N82">
        <v>58</v>
      </c>
      <c r="O82" t="s">
        <v>24</v>
      </c>
      <c r="P82" t="s">
        <v>25</v>
      </c>
    </row>
    <row r="83" spans="1:16" x14ac:dyDescent="0.25">
      <c r="A83" t="s">
        <v>498</v>
      </c>
      <c r="B83" t="s">
        <v>499</v>
      </c>
      <c r="C83" t="s">
        <v>28</v>
      </c>
      <c r="D83" t="s">
        <v>161</v>
      </c>
      <c r="E83" t="s">
        <v>500</v>
      </c>
      <c r="F83" t="s">
        <v>53</v>
      </c>
      <c r="G83" t="s">
        <v>501</v>
      </c>
      <c r="H83" t="s">
        <v>502</v>
      </c>
      <c r="I83">
        <v>2</v>
      </c>
      <c r="J83">
        <v>140</v>
      </c>
      <c r="K83">
        <v>1</v>
      </c>
      <c r="L83">
        <v>0</v>
      </c>
      <c r="M83">
        <v>10</v>
      </c>
      <c r="N83">
        <v>150</v>
      </c>
      <c r="O83" t="s">
        <v>24</v>
      </c>
      <c r="P83" t="s">
        <v>25</v>
      </c>
    </row>
    <row r="84" spans="1:16" x14ac:dyDescent="0.25">
      <c r="A84" t="s">
        <v>503</v>
      </c>
      <c r="B84" t="s">
        <v>504</v>
      </c>
      <c r="C84" t="s">
        <v>35</v>
      </c>
      <c r="D84" t="s">
        <v>167</v>
      </c>
      <c r="E84" t="s">
        <v>505</v>
      </c>
      <c r="F84" t="s">
        <v>62</v>
      </c>
      <c r="G84" t="s">
        <v>506</v>
      </c>
      <c r="H84" t="s">
        <v>507</v>
      </c>
      <c r="I84">
        <v>2.5</v>
      </c>
      <c r="J84">
        <v>158</v>
      </c>
      <c r="K84">
        <v>1.25</v>
      </c>
      <c r="L84">
        <v>40</v>
      </c>
      <c r="M84">
        <v>10</v>
      </c>
      <c r="N84">
        <v>208</v>
      </c>
      <c r="O84" t="s">
        <v>24</v>
      </c>
      <c r="P84" t="s">
        <v>25</v>
      </c>
    </row>
    <row r="85" spans="1:16" x14ac:dyDescent="0.25">
      <c r="A85" t="s">
        <v>508</v>
      </c>
      <c r="B85" t="s">
        <v>509</v>
      </c>
      <c r="C85" t="s">
        <v>43</v>
      </c>
      <c r="D85" t="s">
        <v>173</v>
      </c>
      <c r="E85" t="s">
        <v>510</v>
      </c>
      <c r="F85" t="s">
        <v>21</v>
      </c>
      <c r="G85" t="s">
        <v>511</v>
      </c>
      <c r="H85" t="s">
        <v>512</v>
      </c>
      <c r="I85">
        <v>3</v>
      </c>
      <c r="J85">
        <v>90</v>
      </c>
      <c r="K85">
        <v>1.25</v>
      </c>
      <c r="L85">
        <v>23</v>
      </c>
      <c r="M85">
        <v>10</v>
      </c>
      <c r="N85">
        <v>123</v>
      </c>
      <c r="O85" t="s">
        <v>24</v>
      </c>
      <c r="P85" t="s">
        <v>25</v>
      </c>
    </row>
    <row r="86" spans="1:16" x14ac:dyDescent="0.25">
      <c r="A86" t="s">
        <v>513</v>
      </c>
      <c r="B86" t="s">
        <v>514</v>
      </c>
      <c r="C86" t="s">
        <v>50</v>
      </c>
      <c r="D86" t="s">
        <v>179</v>
      </c>
      <c r="E86" t="s">
        <v>515</v>
      </c>
      <c r="F86" t="s">
        <v>21</v>
      </c>
      <c r="G86" t="s">
        <v>516</v>
      </c>
      <c r="H86" t="s">
        <v>517</v>
      </c>
      <c r="I86">
        <v>1</v>
      </c>
      <c r="J86">
        <v>40</v>
      </c>
      <c r="K86">
        <v>1</v>
      </c>
      <c r="L86">
        <v>0</v>
      </c>
      <c r="M86">
        <v>10</v>
      </c>
      <c r="N86">
        <v>25</v>
      </c>
      <c r="O86" t="s">
        <v>24</v>
      </c>
      <c r="P86" t="s">
        <v>25</v>
      </c>
    </row>
    <row r="87" spans="1:16" x14ac:dyDescent="0.25">
      <c r="A87" t="s">
        <v>518</v>
      </c>
      <c r="B87" t="s">
        <v>17</v>
      </c>
      <c r="C87" t="s">
        <v>18</v>
      </c>
      <c r="D87" t="s">
        <v>185</v>
      </c>
      <c r="E87" t="s">
        <v>519</v>
      </c>
      <c r="F87" t="s">
        <v>21</v>
      </c>
      <c r="G87" t="s">
        <v>520</v>
      </c>
      <c r="H87" t="s">
        <v>521</v>
      </c>
      <c r="I87">
        <v>1.5</v>
      </c>
      <c r="J87">
        <v>75</v>
      </c>
      <c r="K87">
        <v>1.25</v>
      </c>
      <c r="L87">
        <v>19</v>
      </c>
      <c r="M87">
        <v>10</v>
      </c>
      <c r="N87">
        <v>104</v>
      </c>
      <c r="O87" t="s">
        <v>56</v>
      </c>
      <c r="P87" t="s">
        <v>57</v>
      </c>
    </row>
    <row r="88" spans="1:16" x14ac:dyDescent="0.25">
      <c r="A88" t="s">
        <v>522</v>
      </c>
      <c r="B88" t="s">
        <v>27</v>
      </c>
      <c r="C88" t="s">
        <v>28</v>
      </c>
      <c r="D88" t="s">
        <v>191</v>
      </c>
      <c r="E88" t="s">
        <v>523</v>
      </c>
      <c r="F88" t="s">
        <v>38</v>
      </c>
      <c r="G88" t="s">
        <v>524</v>
      </c>
      <c r="H88" t="s">
        <v>525</v>
      </c>
      <c r="I88">
        <v>2</v>
      </c>
      <c r="J88">
        <v>60</v>
      </c>
      <c r="K88">
        <v>1.25</v>
      </c>
      <c r="L88">
        <v>15</v>
      </c>
      <c r="M88">
        <v>10</v>
      </c>
      <c r="N88">
        <v>85</v>
      </c>
      <c r="O88" t="s">
        <v>65</v>
      </c>
      <c r="P88" t="s">
        <v>25</v>
      </c>
    </row>
    <row r="89" spans="1:16" x14ac:dyDescent="0.25">
      <c r="A89" t="s">
        <v>526</v>
      </c>
      <c r="B89" t="s">
        <v>34</v>
      </c>
      <c r="C89" t="s">
        <v>35</v>
      </c>
      <c r="D89" t="s">
        <v>197</v>
      </c>
      <c r="E89" t="s">
        <v>527</v>
      </c>
      <c r="F89" t="s">
        <v>38</v>
      </c>
      <c r="G89" t="s">
        <v>528</v>
      </c>
      <c r="H89" t="s">
        <v>529</v>
      </c>
      <c r="I89">
        <v>2.5</v>
      </c>
      <c r="J89">
        <v>38</v>
      </c>
      <c r="K89">
        <v>1.25</v>
      </c>
      <c r="L89">
        <v>10</v>
      </c>
      <c r="M89">
        <v>10</v>
      </c>
      <c r="N89">
        <v>2850</v>
      </c>
      <c r="O89" t="s">
        <v>72</v>
      </c>
      <c r="P89" t="s">
        <v>73</v>
      </c>
    </row>
    <row r="90" spans="1:16" x14ac:dyDescent="0.25">
      <c r="A90" t="s">
        <v>530</v>
      </c>
      <c r="B90" t="s">
        <v>42</v>
      </c>
      <c r="C90" t="s">
        <v>43</v>
      </c>
      <c r="D90" t="s">
        <v>203</v>
      </c>
      <c r="E90" t="s">
        <v>531</v>
      </c>
      <c r="F90" t="s">
        <v>53</v>
      </c>
      <c r="G90" t="s">
        <v>532</v>
      </c>
      <c r="H90" t="s">
        <v>533</v>
      </c>
      <c r="I90">
        <v>3</v>
      </c>
      <c r="J90">
        <v>120</v>
      </c>
      <c r="K90">
        <v>1.25</v>
      </c>
      <c r="L90">
        <v>30</v>
      </c>
      <c r="M90">
        <v>10</v>
      </c>
      <c r="N90">
        <v>160</v>
      </c>
      <c r="O90" t="s">
        <v>80</v>
      </c>
      <c r="P90" t="s">
        <v>25</v>
      </c>
    </row>
    <row r="91" spans="1:16" x14ac:dyDescent="0.25">
      <c r="A91" t="s">
        <v>534</v>
      </c>
      <c r="B91" t="s">
        <v>49</v>
      </c>
      <c r="C91" t="s">
        <v>50</v>
      </c>
      <c r="D91" t="s">
        <v>209</v>
      </c>
      <c r="E91" t="s">
        <v>535</v>
      </c>
      <c r="F91" t="s">
        <v>62</v>
      </c>
      <c r="G91" t="s">
        <v>536</v>
      </c>
      <c r="H91" t="s">
        <v>537</v>
      </c>
      <c r="I91">
        <v>1</v>
      </c>
      <c r="J91">
        <v>72</v>
      </c>
      <c r="K91">
        <v>1.25</v>
      </c>
      <c r="L91">
        <v>18</v>
      </c>
      <c r="M91">
        <v>10</v>
      </c>
      <c r="N91">
        <v>100</v>
      </c>
      <c r="O91" t="s">
        <v>24</v>
      </c>
      <c r="P91" t="s">
        <v>25</v>
      </c>
    </row>
    <row r="92" spans="1:16" x14ac:dyDescent="0.25">
      <c r="A92" t="s">
        <v>538</v>
      </c>
      <c r="B92" t="s">
        <v>59</v>
      </c>
      <c r="C92" t="s">
        <v>18</v>
      </c>
      <c r="D92" t="s">
        <v>215</v>
      </c>
      <c r="E92" t="s">
        <v>539</v>
      </c>
      <c r="F92" t="s">
        <v>21</v>
      </c>
      <c r="G92" t="s">
        <v>540</v>
      </c>
      <c r="H92" t="s">
        <v>541</v>
      </c>
      <c r="I92">
        <v>1.5</v>
      </c>
      <c r="J92">
        <v>75</v>
      </c>
      <c r="K92">
        <v>1</v>
      </c>
      <c r="L92">
        <v>0</v>
      </c>
      <c r="M92">
        <v>10</v>
      </c>
      <c r="N92">
        <v>85</v>
      </c>
      <c r="O92" t="s">
        <v>24</v>
      </c>
      <c r="P92" t="s">
        <v>25</v>
      </c>
    </row>
    <row r="93" spans="1:16" x14ac:dyDescent="0.25">
      <c r="A93" t="s">
        <v>542</v>
      </c>
      <c r="B93" t="s">
        <v>67</v>
      </c>
      <c r="C93" t="s">
        <v>28</v>
      </c>
      <c r="D93" t="s">
        <v>221</v>
      </c>
      <c r="E93" t="s">
        <v>543</v>
      </c>
      <c r="F93" t="s">
        <v>21</v>
      </c>
      <c r="G93" t="s">
        <v>544</v>
      </c>
      <c r="H93" t="s">
        <v>545</v>
      </c>
      <c r="I93">
        <v>2</v>
      </c>
      <c r="J93">
        <v>120</v>
      </c>
      <c r="K93">
        <v>1.25</v>
      </c>
      <c r="L93">
        <v>30</v>
      </c>
      <c r="M93">
        <v>10</v>
      </c>
      <c r="N93">
        <v>160</v>
      </c>
      <c r="O93" t="s">
        <v>24</v>
      </c>
      <c r="P93" t="s">
        <v>25</v>
      </c>
    </row>
    <row r="94" spans="1:16" x14ac:dyDescent="0.25">
      <c r="A94" t="s">
        <v>546</v>
      </c>
      <c r="B94" t="s">
        <v>75</v>
      </c>
      <c r="C94" t="s">
        <v>35</v>
      </c>
      <c r="D94" t="s">
        <v>227</v>
      </c>
      <c r="E94" t="s">
        <v>547</v>
      </c>
      <c r="F94" t="s">
        <v>21</v>
      </c>
      <c r="G94" t="s">
        <v>548</v>
      </c>
      <c r="H94" t="s">
        <v>549</v>
      </c>
      <c r="I94">
        <v>2.5</v>
      </c>
      <c r="J94">
        <v>88</v>
      </c>
      <c r="K94">
        <v>1.25</v>
      </c>
      <c r="L94">
        <v>22</v>
      </c>
      <c r="M94">
        <v>10</v>
      </c>
      <c r="N94">
        <v>120</v>
      </c>
      <c r="O94" t="s">
        <v>24</v>
      </c>
      <c r="P94" t="s">
        <v>25</v>
      </c>
    </row>
    <row r="95" spans="1:16" x14ac:dyDescent="0.25">
      <c r="A95" t="s">
        <v>550</v>
      </c>
      <c r="B95" t="s">
        <v>82</v>
      </c>
      <c r="C95" t="s">
        <v>43</v>
      </c>
      <c r="D95" t="s">
        <v>233</v>
      </c>
      <c r="E95" t="s">
        <v>551</v>
      </c>
      <c r="F95" t="s">
        <v>38</v>
      </c>
      <c r="G95" t="s">
        <v>552</v>
      </c>
      <c r="H95" t="s">
        <v>553</v>
      </c>
      <c r="I95">
        <v>3</v>
      </c>
      <c r="J95">
        <v>30</v>
      </c>
      <c r="K95">
        <v>1</v>
      </c>
      <c r="L95">
        <v>0</v>
      </c>
      <c r="M95">
        <v>10</v>
      </c>
      <c r="N95">
        <v>40</v>
      </c>
      <c r="O95" t="s">
        <v>24</v>
      </c>
      <c r="P95" t="s">
        <v>25</v>
      </c>
    </row>
    <row r="96" spans="1:16" x14ac:dyDescent="0.25">
      <c r="A96" t="s">
        <v>554</v>
      </c>
      <c r="B96" t="s">
        <v>88</v>
      </c>
      <c r="C96" t="s">
        <v>50</v>
      </c>
      <c r="D96" t="s">
        <v>239</v>
      </c>
      <c r="E96" t="s">
        <v>555</v>
      </c>
      <c r="F96" t="s">
        <v>38</v>
      </c>
      <c r="G96" t="s">
        <v>556</v>
      </c>
      <c r="H96" t="s">
        <v>557</v>
      </c>
      <c r="I96">
        <v>1</v>
      </c>
      <c r="J96">
        <v>20</v>
      </c>
      <c r="K96">
        <v>1</v>
      </c>
      <c r="L96">
        <v>0</v>
      </c>
      <c r="M96">
        <v>10</v>
      </c>
      <c r="N96">
        <v>5</v>
      </c>
      <c r="O96" t="s">
        <v>56</v>
      </c>
      <c r="P96" t="s">
        <v>57</v>
      </c>
    </row>
    <row r="97" spans="1:16" x14ac:dyDescent="0.25">
      <c r="A97" t="s">
        <v>558</v>
      </c>
      <c r="B97" t="s">
        <v>94</v>
      </c>
      <c r="C97" t="s">
        <v>18</v>
      </c>
      <c r="D97" t="s">
        <v>245</v>
      </c>
      <c r="E97" t="s">
        <v>559</v>
      </c>
      <c r="F97" t="s">
        <v>53</v>
      </c>
      <c r="G97" t="s">
        <v>560</v>
      </c>
      <c r="H97" t="s">
        <v>561</v>
      </c>
      <c r="I97">
        <v>1.5</v>
      </c>
      <c r="J97">
        <v>90</v>
      </c>
      <c r="K97">
        <v>1.25</v>
      </c>
      <c r="L97">
        <v>23</v>
      </c>
      <c r="M97">
        <v>10</v>
      </c>
      <c r="N97">
        <v>123</v>
      </c>
      <c r="O97" t="s">
        <v>65</v>
      </c>
      <c r="P97" t="s">
        <v>25</v>
      </c>
    </row>
    <row r="98" spans="1:16" x14ac:dyDescent="0.25">
      <c r="A98" t="s">
        <v>562</v>
      </c>
      <c r="B98" t="s">
        <v>100</v>
      </c>
      <c r="C98" t="s">
        <v>28</v>
      </c>
      <c r="D98" t="s">
        <v>251</v>
      </c>
      <c r="E98" t="s">
        <v>563</v>
      </c>
      <c r="F98" t="s">
        <v>62</v>
      </c>
      <c r="G98" t="s">
        <v>564</v>
      </c>
      <c r="H98" t="s">
        <v>565</v>
      </c>
      <c r="I98">
        <v>2</v>
      </c>
      <c r="J98">
        <v>216</v>
      </c>
      <c r="K98">
        <v>1.25</v>
      </c>
      <c r="L98">
        <v>54</v>
      </c>
      <c r="M98">
        <v>10</v>
      </c>
      <c r="N98">
        <v>280</v>
      </c>
      <c r="O98" t="s">
        <v>72</v>
      </c>
      <c r="P98" t="s">
        <v>73</v>
      </c>
    </row>
    <row r="99" spans="1:16" x14ac:dyDescent="0.25">
      <c r="A99" t="s">
        <v>566</v>
      </c>
      <c r="B99" t="s">
        <v>106</v>
      </c>
      <c r="C99" t="s">
        <v>35</v>
      </c>
      <c r="D99" t="s">
        <v>257</v>
      </c>
      <c r="E99" t="s">
        <v>567</v>
      </c>
      <c r="F99" t="s">
        <v>21</v>
      </c>
      <c r="G99" t="s">
        <v>568</v>
      </c>
      <c r="H99" t="s">
        <v>569</v>
      </c>
      <c r="I99">
        <v>2.5</v>
      </c>
      <c r="J99">
        <v>88</v>
      </c>
      <c r="K99">
        <v>1</v>
      </c>
      <c r="L99">
        <v>0</v>
      </c>
      <c r="M99">
        <v>10</v>
      </c>
      <c r="N99">
        <v>98</v>
      </c>
      <c r="O99" t="s">
        <v>80</v>
      </c>
      <c r="P99" t="s">
        <v>25</v>
      </c>
    </row>
    <row r="100" spans="1:16" x14ac:dyDescent="0.25">
      <c r="A100" t="s">
        <v>570</v>
      </c>
      <c r="B100" t="s">
        <v>112</v>
      </c>
      <c r="C100" t="s">
        <v>43</v>
      </c>
      <c r="D100" t="s">
        <v>263</v>
      </c>
      <c r="E100" t="s">
        <v>571</v>
      </c>
      <c r="F100" t="s">
        <v>21</v>
      </c>
      <c r="G100" t="s">
        <v>572</v>
      </c>
      <c r="H100" t="s">
        <v>573</v>
      </c>
      <c r="I100">
        <v>3</v>
      </c>
      <c r="J100">
        <v>90</v>
      </c>
      <c r="K100">
        <v>1.25</v>
      </c>
      <c r="L100">
        <v>23</v>
      </c>
      <c r="M100">
        <v>10</v>
      </c>
      <c r="N100">
        <v>123</v>
      </c>
      <c r="O100" t="s">
        <v>24</v>
      </c>
      <c r="P100" t="s">
        <v>25</v>
      </c>
    </row>
    <row r="101" spans="1:16" x14ac:dyDescent="0.25">
      <c r="A101" t="s">
        <v>574</v>
      </c>
      <c r="B101" t="s">
        <v>118</v>
      </c>
      <c r="C101" t="s">
        <v>50</v>
      </c>
      <c r="D101" t="s">
        <v>269</v>
      </c>
      <c r="E101" t="s">
        <v>575</v>
      </c>
      <c r="F101" t="s">
        <v>21</v>
      </c>
      <c r="G101" t="s">
        <v>576</v>
      </c>
      <c r="H101" t="s">
        <v>577</v>
      </c>
      <c r="I101">
        <v>1</v>
      </c>
      <c r="J101">
        <v>40</v>
      </c>
      <c r="K101">
        <v>1.25</v>
      </c>
      <c r="L101">
        <v>10</v>
      </c>
      <c r="M101">
        <v>10</v>
      </c>
      <c r="N101">
        <v>60</v>
      </c>
      <c r="O101" t="s">
        <v>24</v>
      </c>
      <c r="P101" t="s">
        <v>25</v>
      </c>
    </row>
    <row r="102" spans="1:16" x14ac:dyDescent="0.25">
      <c r="A102" t="s">
        <v>578</v>
      </c>
      <c r="B102" t="s">
        <v>124</v>
      </c>
      <c r="C102" t="s">
        <v>18</v>
      </c>
      <c r="D102" t="s">
        <v>275</v>
      </c>
      <c r="E102" t="s">
        <v>579</v>
      </c>
      <c r="F102" t="s">
        <v>38</v>
      </c>
      <c r="G102" t="s">
        <v>580</v>
      </c>
      <c r="H102" t="s">
        <v>581</v>
      </c>
      <c r="I102">
        <v>1.5</v>
      </c>
      <c r="J102">
        <v>38</v>
      </c>
      <c r="K102">
        <v>1.25</v>
      </c>
      <c r="L102">
        <v>10</v>
      </c>
      <c r="M102">
        <v>10</v>
      </c>
      <c r="N102">
        <v>58</v>
      </c>
      <c r="O102" t="s">
        <v>24</v>
      </c>
      <c r="P102" t="s">
        <v>25</v>
      </c>
    </row>
    <row r="103" spans="1:16" x14ac:dyDescent="0.25">
      <c r="A103" t="s">
        <v>582</v>
      </c>
      <c r="B103" t="s">
        <v>130</v>
      </c>
      <c r="C103" t="s">
        <v>28</v>
      </c>
      <c r="D103" t="s">
        <v>281</v>
      </c>
      <c r="E103" t="s">
        <v>583</v>
      </c>
      <c r="F103" t="s">
        <v>38</v>
      </c>
      <c r="G103" t="s">
        <v>584</v>
      </c>
      <c r="H103" t="s">
        <v>585</v>
      </c>
      <c r="I103">
        <v>2</v>
      </c>
      <c r="J103">
        <v>60</v>
      </c>
      <c r="K103">
        <v>1.25</v>
      </c>
      <c r="L103">
        <v>15</v>
      </c>
      <c r="M103">
        <v>10</v>
      </c>
      <c r="N103">
        <v>85</v>
      </c>
      <c r="O103" t="s">
        <v>24</v>
      </c>
      <c r="P103" t="s">
        <v>25</v>
      </c>
    </row>
    <row r="104" spans="1:16" x14ac:dyDescent="0.25">
      <c r="A104" t="s">
        <v>586</v>
      </c>
      <c r="B104" t="s">
        <v>136</v>
      </c>
      <c r="C104" t="s">
        <v>35</v>
      </c>
      <c r="D104" t="s">
        <v>287</v>
      </c>
      <c r="E104" t="s">
        <v>587</v>
      </c>
      <c r="F104" t="s">
        <v>53</v>
      </c>
      <c r="G104" t="s">
        <v>110</v>
      </c>
      <c r="H104" t="s">
        <v>588</v>
      </c>
      <c r="I104">
        <v>2.5</v>
      </c>
      <c r="J104">
        <v>113</v>
      </c>
      <c r="K104">
        <v>1.25</v>
      </c>
      <c r="L104">
        <v>28</v>
      </c>
      <c r="M104">
        <v>10</v>
      </c>
      <c r="N104">
        <v>151</v>
      </c>
      <c r="O104" t="s">
        <v>24</v>
      </c>
      <c r="P104" t="s">
        <v>25</v>
      </c>
    </row>
    <row r="105" spans="1:16" x14ac:dyDescent="0.25">
      <c r="A105" t="s">
        <v>589</v>
      </c>
      <c r="B105" t="s">
        <v>142</v>
      </c>
      <c r="C105" t="s">
        <v>43</v>
      </c>
      <c r="D105" t="s">
        <v>293</v>
      </c>
      <c r="E105" t="s">
        <v>590</v>
      </c>
      <c r="F105" t="s">
        <v>62</v>
      </c>
      <c r="G105" t="s">
        <v>591</v>
      </c>
      <c r="H105" t="s">
        <v>592</v>
      </c>
      <c r="I105">
        <v>3</v>
      </c>
      <c r="J105">
        <v>162</v>
      </c>
      <c r="K105">
        <v>1.25</v>
      </c>
      <c r="L105">
        <v>41</v>
      </c>
      <c r="M105">
        <v>10</v>
      </c>
      <c r="N105">
        <v>213</v>
      </c>
      <c r="O105" t="s">
        <v>56</v>
      </c>
      <c r="P105" t="s">
        <v>57</v>
      </c>
    </row>
    <row r="106" spans="1:16" x14ac:dyDescent="0.25">
      <c r="A106" t="s">
        <v>593</v>
      </c>
      <c r="B106" t="s">
        <v>148</v>
      </c>
      <c r="C106" t="s">
        <v>50</v>
      </c>
      <c r="D106" t="s">
        <v>299</v>
      </c>
      <c r="E106" t="s">
        <v>594</v>
      </c>
      <c r="F106" t="s">
        <v>21</v>
      </c>
      <c r="G106" t="s">
        <v>595</v>
      </c>
      <c r="H106" t="s">
        <v>596</v>
      </c>
      <c r="I106">
        <v>48</v>
      </c>
      <c r="J106">
        <v>1920</v>
      </c>
      <c r="K106">
        <v>1.25</v>
      </c>
      <c r="L106">
        <v>480</v>
      </c>
      <c r="M106">
        <v>10</v>
      </c>
      <c r="N106">
        <v>2410</v>
      </c>
      <c r="O106" t="s">
        <v>65</v>
      </c>
      <c r="P106" t="s">
        <v>25</v>
      </c>
    </row>
    <row r="107" spans="1:16" x14ac:dyDescent="0.25">
      <c r="A107" t="s">
        <v>597</v>
      </c>
      <c r="B107" t="s">
        <v>154</v>
      </c>
      <c r="C107" t="s">
        <v>18</v>
      </c>
      <c r="D107" t="s">
        <v>305</v>
      </c>
      <c r="E107" t="s">
        <v>598</v>
      </c>
      <c r="F107" t="s">
        <v>21</v>
      </c>
      <c r="G107" t="s">
        <v>599</v>
      </c>
      <c r="H107" t="s">
        <v>600</v>
      </c>
      <c r="I107">
        <v>1.5</v>
      </c>
      <c r="J107">
        <v>75</v>
      </c>
      <c r="K107">
        <v>1.25</v>
      </c>
      <c r="L107">
        <v>19</v>
      </c>
      <c r="M107">
        <v>10</v>
      </c>
      <c r="N107">
        <v>104</v>
      </c>
      <c r="O107" t="s">
        <v>72</v>
      </c>
      <c r="P107" t="s">
        <v>73</v>
      </c>
    </row>
    <row r="108" spans="1:16" x14ac:dyDescent="0.25">
      <c r="A108" t="s">
        <v>601</v>
      </c>
      <c r="B108" t="s">
        <v>160</v>
      </c>
      <c r="C108" t="s">
        <v>28</v>
      </c>
      <c r="D108" t="s">
        <v>311</v>
      </c>
      <c r="E108" t="s">
        <v>602</v>
      </c>
      <c r="F108" t="s">
        <v>21</v>
      </c>
      <c r="G108" t="s">
        <v>603</v>
      </c>
      <c r="H108" t="s">
        <v>604</v>
      </c>
      <c r="I108">
        <v>2</v>
      </c>
      <c r="J108">
        <v>120</v>
      </c>
      <c r="K108">
        <v>1.25</v>
      </c>
      <c r="L108">
        <v>30</v>
      </c>
      <c r="M108">
        <v>10</v>
      </c>
      <c r="N108">
        <v>160</v>
      </c>
      <c r="O108" t="s">
        <v>80</v>
      </c>
      <c r="P108" t="s">
        <v>25</v>
      </c>
    </row>
    <row r="109" spans="1:16" x14ac:dyDescent="0.25">
      <c r="A109" t="s">
        <v>605</v>
      </c>
      <c r="B109" t="s">
        <v>166</v>
      </c>
      <c r="C109" t="s">
        <v>35</v>
      </c>
      <c r="D109" t="s">
        <v>317</v>
      </c>
      <c r="E109" t="s">
        <v>606</v>
      </c>
      <c r="F109" t="s">
        <v>38</v>
      </c>
      <c r="G109" t="s">
        <v>607</v>
      </c>
      <c r="H109" t="s">
        <v>608</v>
      </c>
      <c r="I109">
        <v>2.5</v>
      </c>
      <c r="J109">
        <v>38</v>
      </c>
      <c r="K109">
        <v>1.25</v>
      </c>
      <c r="L109">
        <v>10</v>
      </c>
      <c r="M109">
        <v>10</v>
      </c>
      <c r="N109">
        <v>58</v>
      </c>
      <c r="O109" t="s">
        <v>24</v>
      </c>
      <c r="P109" t="s">
        <v>25</v>
      </c>
    </row>
    <row r="110" spans="1:16" x14ac:dyDescent="0.25">
      <c r="A110" t="s">
        <v>609</v>
      </c>
      <c r="B110" t="s">
        <v>172</v>
      </c>
      <c r="C110" t="s">
        <v>43</v>
      </c>
      <c r="D110" t="s">
        <v>323</v>
      </c>
      <c r="E110" t="s">
        <v>610</v>
      </c>
      <c r="F110" t="s">
        <v>38</v>
      </c>
      <c r="G110" t="s">
        <v>611</v>
      </c>
      <c r="H110" t="s">
        <v>612</v>
      </c>
      <c r="I110">
        <v>3</v>
      </c>
      <c r="J110">
        <v>30</v>
      </c>
      <c r="K110">
        <v>1</v>
      </c>
      <c r="L110">
        <v>0</v>
      </c>
      <c r="M110">
        <v>10</v>
      </c>
      <c r="N110">
        <v>40</v>
      </c>
      <c r="O110" t="s">
        <v>24</v>
      </c>
      <c r="P110" t="s">
        <v>25</v>
      </c>
    </row>
    <row r="111" spans="1:16" x14ac:dyDescent="0.25">
      <c r="A111" t="s">
        <v>613</v>
      </c>
      <c r="B111" t="s">
        <v>178</v>
      </c>
      <c r="C111" t="s">
        <v>50</v>
      </c>
      <c r="D111" t="s">
        <v>329</v>
      </c>
      <c r="E111" t="s">
        <v>614</v>
      </c>
      <c r="F111" t="s">
        <v>53</v>
      </c>
      <c r="G111" t="s">
        <v>615</v>
      </c>
      <c r="H111" t="s">
        <v>616</v>
      </c>
      <c r="I111">
        <v>1</v>
      </c>
      <c r="J111">
        <v>50</v>
      </c>
      <c r="K111">
        <v>1</v>
      </c>
      <c r="L111">
        <v>0</v>
      </c>
      <c r="M111">
        <v>10</v>
      </c>
      <c r="N111">
        <v>35</v>
      </c>
      <c r="O111" t="s">
        <v>24</v>
      </c>
      <c r="P111" t="s">
        <v>25</v>
      </c>
    </row>
    <row r="112" spans="1:16" x14ac:dyDescent="0.25">
      <c r="A112" t="s">
        <v>617</v>
      </c>
      <c r="B112" t="s">
        <v>184</v>
      </c>
      <c r="C112" t="s">
        <v>18</v>
      </c>
      <c r="D112" t="s">
        <v>335</v>
      </c>
      <c r="E112" t="s">
        <v>618</v>
      </c>
      <c r="F112" t="s">
        <v>62</v>
      </c>
      <c r="G112" t="s">
        <v>619</v>
      </c>
      <c r="H112" t="s">
        <v>620</v>
      </c>
      <c r="I112">
        <v>1.5</v>
      </c>
      <c r="J112">
        <v>135</v>
      </c>
      <c r="K112">
        <v>1.25</v>
      </c>
      <c r="L112">
        <v>34</v>
      </c>
      <c r="M112">
        <v>10</v>
      </c>
      <c r="N112">
        <v>179</v>
      </c>
      <c r="O112" t="s">
        <v>24</v>
      </c>
      <c r="P112" t="s">
        <v>25</v>
      </c>
    </row>
    <row r="113" spans="1:16" x14ac:dyDescent="0.25">
      <c r="A113" t="s">
        <v>621</v>
      </c>
      <c r="B113" t="s">
        <v>190</v>
      </c>
      <c r="C113" t="s">
        <v>28</v>
      </c>
      <c r="D113" t="s">
        <v>341</v>
      </c>
      <c r="E113" t="s">
        <v>622</v>
      </c>
      <c r="F113" t="s">
        <v>21</v>
      </c>
      <c r="G113" t="s">
        <v>623</v>
      </c>
      <c r="H113" t="s">
        <v>624</v>
      </c>
      <c r="I113">
        <v>2</v>
      </c>
      <c r="J113">
        <v>120</v>
      </c>
      <c r="K113">
        <v>1.25</v>
      </c>
      <c r="L113">
        <v>30</v>
      </c>
      <c r="M113">
        <v>10</v>
      </c>
      <c r="N113">
        <v>160</v>
      </c>
      <c r="O113" t="s">
        <v>24</v>
      </c>
      <c r="P113" t="s">
        <v>25</v>
      </c>
    </row>
    <row r="114" spans="1:16" x14ac:dyDescent="0.25">
      <c r="A114" t="s">
        <v>625</v>
      </c>
      <c r="B114" t="s">
        <v>196</v>
      </c>
      <c r="C114" t="s">
        <v>35</v>
      </c>
      <c r="D114" t="s">
        <v>347</v>
      </c>
      <c r="E114" t="s">
        <v>626</v>
      </c>
      <c r="F114" t="s">
        <v>21</v>
      </c>
      <c r="G114" t="s">
        <v>170</v>
      </c>
      <c r="H114" t="s">
        <v>627</v>
      </c>
      <c r="I114">
        <v>2.5</v>
      </c>
      <c r="J114">
        <v>88</v>
      </c>
      <c r="K114">
        <v>1</v>
      </c>
      <c r="L114">
        <v>0</v>
      </c>
      <c r="M114">
        <v>10</v>
      </c>
      <c r="N114">
        <v>98</v>
      </c>
      <c r="O114" t="s">
        <v>56</v>
      </c>
      <c r="P114" t="s">
        <v>57</v>
      </c>
    </row>
    <row r="115" spans="1:16" x14ac:dyDescent="0.25">
      <c r="A115" t="s">
        <v>628</v>
      </c>
      <c r="B115" t="s">
        <v>202</v>
      </c>
      <c r="C115" t="s">
        <v>43</v>
      </c>
      <c r="D115" t="s">
        <v>353</v>
      </c>
      <c r="E115" t="s">
        <v>629</v>
      </c>
      <c r="F115" t="s">
        <v>21</v>
      </c>
      <c r="G115" t="s">
        <v>630</v>
      </c>
      <c r="H115" t="s">
        <v>631</v>
      </c>
      <c r="I115">
        <v>3</v>
      </c>
      <c r="J115">
        <v>90</v>
      </c>
      <c r="K115">
        <v>1.25</v>
      </c>
      <c r="L115">
        <v>23</v>
      </c>
      <c r="M115">
        <v>10</v>
      </c>
      <c r="N115">
        <v>123</v>
      </c>
      <c r="O115" t="s">
        <v>65</v>
      </c>
      <c r="P115" t="s">
        <v>25</v>
      </c>
    </row>
    <row r="116" spans="1:16" x14ac:dyDescent="0.25">
      <c r="A116" t="s">
        <v>632</v>
      </c>
      <c r="B116" t="s">
        <v>208</v>
      </c>
      <c r="C116" t="s">
        <v>50</v>
      </c>
      <c r="D116" t="s">
        <v>359</v>
      </c>
      <c r="E116" t="s">
        <v>633</v>
      </c>
      <c r="F116" t="s">
        <v>38</v>
      </c>
      <c r="G116" t="s">
        <v>634</v>
      </c>
      <c r="H116" t="s">
        <v>635</v>
      </c>
      <c r="I116">
        <v>1</v>
      </c>
      <c r="J116">
        <v>20</v>
      </c>
      <c r="K116">
        <v>1.25</v>
      </c>
      <c r="L116">
        <v>5</v>
      </c>
      <c r="M116">
        <v>10</v>
      </c>
      <c r="N116">
        <v>10</v>
      </c>
      <c r="O116" t="s">
        <v>72</v>
      </c>
      <c r="P116" t="s">
        <v>73</v>
      </c>
    </row>
    <row r="117" spans="1:16" x14ac:dyDescent="0.25">
      <c r="A117" t="s">
        <v>636</v>
      </c>
      <c r="B117" t="s">
        <v>214</v>
      </c>
      <c r="C117" t="s">
        <v>18</v>
      </c>
      <c r="D117" t="s">
        <v>365</v>
      </c>
      <c r="E117" t="s">
        <v>637</v>
      </c>
      <c r="F117" t="s">
        <v>38</v>
      </c>
      <c r="G117" t="s">
        <v>638</v>
      </c>
      <c r="H117" t="s">
        <v>639</v>
      </c>
      <c r="I117">
        <v>1.5</v>
      </c>
      <c r="J117">
        <v>38</v>
      </c>
      <c r="K117">
        <v>1.25</v>
      </c>
      <c r="L117">
        <v>10</v>
      </c>
      <c r="M117">
        <v>10</v>
      </c>
      <c r="N117">
        <v>58</v>
      </c>
      <c r="O117" t="s">
        <v>80</v>
      </c>
      <c r="P117" t="s">
        <v>25</v>
      </c>
    </row>
    <row r="118" spans="1:16" x14ac:dyDescent="0.25">
      <c r="A118" t="s">
        <v>640</v>
      </c>
      <c r="B118" t="s">
        <v>220</v>
      </c>
      <c r="C118" t="s">
        <v>28</v>
      </c>
      <c r="D118" t="s">
        <v>371</v>
      </c>
      <c r="E118" t="s">
        <v>641</v>
      </c>
      <c r="F118" t="s">
        <v>53</v>
      </c>
      <c r="G118" t="s">
        <v>642</v>
      </c>
      <c r="H118" t="s">
        <v>643</v>
      </c>
      <c r="I118">
        <v>2</v>
      </c>
      <c r="J118">
        <v>140</v>
      </c>
      <c r="K118">
        <v>1.25</v>
      </c>
      <c r="L118">
        <v>35</v>
      </c>
      <c r="M118">
        <v>10</v>
      </c>
      <c r="N118">
        <v>185</v>
      </c>
      <c r="O118" t="s">
        <v>24</v>
      </c>
      <c r="P118" t="s">
        <v>25</v>
      </c>
    </row>
    <row r="119" spans="1:16" x14ac:dyDescent="0.25">
      <c r="A119" t="s">
        <v>644</v>
      </c>
      <c r="B119" t="s">
        <v>226</v>
      </c>
      <c r="C119" t="s">
        <v>35</v>
      </c>
      <c r="D119" t="s">
        <v>377</v>
      </c>
      <c r="E119" t="s">
        <v>645</v>
      </c>
      <c r="F119" t="s">
        <v>62</v>
      </c>
      <c r="G119" t="s">
        <v>646</v>
      </c>
      <c r="H119" t="s">
        <v>647</v>
      </c>
      <c r="I119">
        <v>2.5</v>
      </c>
      <c r="J119">
        <v>158</v>
      </c>
      <c r="K119">
        <v>1.25</v>
      </c>
      <c r="L119">
        <v>40</v>
      </c>
      <c r="M119">
        <v>10</v>
      </c>
      <c r="N119">
        <v>208</v>
      </c>
      <c r="O119" t="s">
        <v>24</v>
      </c>
      <c r="P119" t="s">
        <v>25</v>
      </c>
    </row>
    <row r="120" spans="1:16" x14ac:dyDescent="0.25">
      <c r="A120" t="s">
        <v>648</v>
      </c>
      <c r="B120" t="s">
        <v>232</v>
      </c>
      <c r="C120" t="s">
        <v>43</v>
      </c>
      <c r="D120" t="s">
        <v>383</v>
      </c>
      <c r="E120" t="s">
        <v>649</v>
      </c>
      <c r="F120" t="s">
        <v>21</v>
      </c>
      <c r="G120" t="s">
        <v>650</v>
      </c>
      <c r="H120" t="s">
        <v>651</v>
      </c>
      <c r="I120">
        <v>3</v>
      </c>
      <c r="J120">
        <v>90</v>
      </c>
      <c r="K120">
        <v>1</v>
      </c>
      <c r="L120">
        <v>0</v>
      </c>
      <c r="M120">
        <v>10</v>
      </c>
      <c r="N120">
        <v>100</v>
      </c>
      <c r="O120" t="s">
        <v>24</v>
      </c>
      <c r="P120" t="s">
        <v>25</v>
      </c>
    </row>
    <row r="121" spans="1:16" x14ac:dyDescent="0.25">
      <c r="A121" t="s">
        <v>652</v>
      </c>
      <c r="B121" t="s">
        <v>238</v>
      </c>
      <c r="C121" t="s">
        <v>50</v>
      </c>
      <c r="D121" t="s">
        <v>389</v>
      </c>
      <c r="E121" t="s">
        <v>653</v>
      </c>
      <c r="F121" t="s">
        <v>21</v>
      </c>
      <c r="G121" t="s">
        <v>654</v>
      </c>
      <c r="H121" t="s">
        <v>655</v>
      </c>
      <c r="I121">
        <v>1</v>
      </c>
      <c r="J121">
        <v>40</v>
      </c>
      <c r="K121">
        <v>1.25</v>
      </c>
      <c r="L121">
        <v>10</v>
      </c>
      <c r="M121">
        <v>10</v>
      </c>
      <c r="N121">
        <v>60</v>
      </c>
      <c r="O121" t="s">
        <v>24</v>
      </c>
      <c r="P121" t="s">
        <v>25</v>
      </c>
    </row>
    <row r="122" spans="1:16" x14ac:dyDescent="0.25">
      <c r="A122" t="s">
        <v>656</v>
      </c>
      <c r="B122" t="s">
        <v>244</v>
      </c>
      <c r="C122" t="s">
        <v>18</v>
      </c>
      <c r="D122" t="s">
        <v>19</v>
      </c>
      <c r="E122" t="s">
        <v>657</v>
      </c>
      <c r="F122" t="s">
        <v>21</v>
      </c>
      <c r="G122" t="s">
        <v>218</v>
      </c>
      <c r="H122" t="s">
        <v>658</v>
      </c>
      <c r="I122">
        <v>1.5</v>
      </c>
      <c r="J122">
        <v>75</v>
      </c>
      <c r="K122">
        <v>1.25</v>
      </c>
      <c r="L122">
        <v>19</v>
      </c>
      <c r="M122">
        <v>10</v>
      </c>
      <c r="N122">
        <v>104</v>
      </c>
      <c r="O122" t="s">
        <v>24</v>
      </c>
      <c r="P122" t="s">
        <v>25</v>
      </c>
    </row>
    <row r="123" spans="1:16" x14ac:dyDescent="0.25">
      <c r="A123" t="s">
        <v>659</v>
      </c>
      <c r="B123" t="s">
        <v>250</v>
      </c>
      <c r="C123" t="s">
        <v>28</v>
      </c>
      <c r="D123" t="s">
        <v>29</v>
      </c>
      <c r="E123" t="s">
        <v>660</v>
      </c>
      <c r="F123" t="s">
        <v>38</v>
      </c>
      <c r="G123" t="s">
        <v>661</v>
      </c>
      <c r="H123" t="s">
        <v>662</v>
      </c>
      <c r="I123">
        <v>2</v>
      </c>
      <c r="J123">
        <v>60</v>
      </c>
      <c r="K123">
        <v>1</v>
      </c>
      <c r="L123">
        <v>0</v>
      </c>
      <c r="M123">
        <v>10</v>
      </c>
      <c r="N123">
        <v>70</v>
      </c>
      <c r="O123" t="s">
        <v>56</v>
      </c>
      <c r="P123" t="s">
        <v>57</v>
      </c>
    </row>
    <row r="124" spans="1:16" x14ac:dyDescent="0.25">
      <c r="A124" t="s">
        <v>663</v>
      </c>
      <c r="B124" t="s">
        <v>256</v>
      </c>
      <c r="C124" t="s">
        <v>35</v>
      </c>
      <c r="D124" t="s">
        <v>36</v>
      </c>
      <c r="E124" t="s">
        <v>664</v>
      </c>
      <c r="F124" t="s">
        <v>38</v>
      </c>
      <c r="G124" t="s">
        <v>665</v>
      </c>
      <c r="H124" t="s">
        <v>666</v>
      </c>
      <c r="I124">
        <v>2.5</v>
      </c>
      <c r="J124">
        <v>38</v>
      </c>
      <c r="K124">
        <v>1.25</v>
      </c>
      <c r="L124">
        <v>10</v>
      </c>
      <c r="M124">
        <v>10</v>
      </c>
      <c r="N124">
        <v>58</v>
      </c>
      <c r="O124" t="s">
        <v>65</v>
      </c>
      <c r="P124" t="s">
        <v>25</v>
      </c>
    </row>
    <row r="125" spans="1:16" x14ac:dyDescent="0.25">
      <c r="A125" t="s">
        <v>667</v>
      </c>
      <c r="B125" t="s">
        <v>262</v>
      </c>
      <c r="C125" t="s">
        <v>43</v>
      </c>
      <c r="D125" t="s">
        <v>44</v>
      </c>
      <c r="E125" t="s">
        <v>668</v>
      </c>
      <c r="F125" t="s">
        <v>53</v>
      </c>
      <c r="G125" t="s">
        <v>669</v>
      </c>
      <c r="H125" t="s">
        <v>670</v>
      </c>
      <c r="I125">
        <v>3</v>
      </c>
      <c r="J125">
        <v>120</v>
      </c>
      <c r="K125">
        <v>1.25</v>
      </c>
      <c r="L125">
        <v>30</v>
      </c>
      <c r="M125">
        <v>10</v>
      </c>
      <c r="N125">
        <v>160</v>
      </c>
      <c r="O125" t="s">
        <v>72</v>
      </c>
      <c r="P125" t="s">
        <v>73</v>
      </c>
    </row>
    <row r="126" spans="1:16" x14ac:dyDescent="0.25">
      <c r="A126" t="s">
        <v>671</v>
      </c>
      <c r="B126" t="s">
        <v>268</v>
      </c>
      <c r="C126" t="s">
        <v>50</v>
      </c>
      <c r="D126" t="s">
        <v>51</v>
      </c>
      <c r="E126" t="s">
        <v>672</v>
      </c>
      <c r="F126" t="s">
        <v>62</v>
      </c>
      <c r="G126" t="s">
        <v>673</v>
      </c>
      <c r="H126" t="s">
        <v>674</v>
      </c>
      <c r="I126">
        <v>1</v>
      </c>
      <c r="J126">
        <v>72</v>
      </c>
      <c r="K126">
        <v>1.25</v>
      </c>
      <c r="L126">
        <v>18</v>
      </c>
      <c r="M126">
        <v>10</v>
      </c>
      <c r="N126">
        <v>75</v>
      </c>
      <c r="O126" t="s">
        <v>80</v>
      </c>
      <c r="P126" t="s">
        <v>25</v>
      </c>
    </row>
    <row r="127" spans="1:16" x14ac:dyDescent="0.25">
      <c r="A127" t="s">
        <v>675</v>
      </c>
      <c r="B127" t="s">
        <v>274</v>
      </c>
      <c r="C127" t="s">
        <v>18</v>
      </c>
      <c r="D127" t="s">
        <v>60</v>
      </c>
      <c r="E127" t="s">
        <v>676</v>
      </c>
      <c r="F127" t="s">
        <v>21</v>
      </c>
      <c r="G127" t="s">
        <v>677</v>
      </c>
      <c r="H127" t="s">
        <v>678</v>
      </c>
      <c r="I127">
        <v>1.5</v>
      </c>
      <c r="J127">
        <v>75</v>
      </c>
      <c r="K127">
        <v>1.25</v>
      </c>
      <c r="L127">
        <v>19</v>
      </c>
      <c r="M127">
        <v>10</v>
      </c>
      <c r="N127">
        <v>104</v>
      </c>
      <c r="O127" t="s">
        <v>24</v>
      </c>
      <c r="P127" t="s">
        <v>25</v>
      </c>
    </row>
    <row r="128" spans="1:16" x14ac:dyDescent="0.25">
      <c r="A128" t="s">
        <v>679</v>
      </c>
      <c r="B128" t="s">
        <v>280</v>
      </c>
      <c r="C128" t="s">
        <v>28</v>
      </c>
      <c r="D128" t="s">
        <v>68</v>
      </c>
      <c r="E128" t="s">
        <v>680</v>
      </c>
      <c r="F128" t="s">
        <v>21</v>
      </c>
      <c r="G128" t="s">
        <v>681</v>
      </c>
      <c r="H128" t="s">
        <v>682</v>
      </c>
      <c r="I128">
        <v>2</v>
      </c>
      <c r="J128">
        <v>120</v>
      </c>
      <c r="K128">
        <v>1</v>
      </c>
      <c r="L128">
        <v>0</v>
      </c>
      <c r="M128">
        <v>10</v>
      </c>
      <c r="N128">
        <v>130</v>
      </c>
      <c r="O128" t="s">
        <v>24</v>
      </c>
      <c r="P128" t="s">
        <v>25</v>
      </c>
    </row>
    <row r="129" spans="1:16" x14ac:dyDescent="0.25">
      <c r="A129" t="s">
        <v>683</v>
      </c>
      <c r="B129" t="s">
        <v>286</v>
      </c>
      <c r="C129" t="s">
        <v>35</v>
      </c>
      <c r="D129" t="s">
        <v>76</v>
      </c>
      <c r="E129" t="s">
        <v>684</v>
      </c>
      <c r="F129" t="s">
        <v>21</v>
      </c>
      <c r="G129" t="s">
        <v>685</v>
      </c>
      <c r="H129" t="s">
        <v>686</v>
      </c>
      <c r="I129">
        <v>2.5</v>
      </c>
      <c r="J129">
        <v>88</v>
      </c>
      <c r="K129">
        <v>1.25</v>
      </c>
      <c r="L129">
        <v>22</v>
      </c>
      <c r="M129">
        <v>10</v>
      </c>
      <c r="N129">
        <v>120</v>
      </c>
      <c r="O129" t="s">
        <v>24</v>
      </c>
      <c r="P129" t="s">
        <v>25</v>
      </c>
    </row>
    <row r="130" spans="1:16" x14ac:dyDescent="0.25">
      <c r="A130" t="s">
        <v>687</v>
      </c>
      <c r="B130" t="s">
        <v>292</v>
      </c>
      <c r="C130" t="s">
        <v>43</v>
      </c>
      <c r="D130" t="s">
        <v>83</v>
      </c>
      <c r="E130" t="s">
        <v>688</v>
      </c>
      <c r="F130" t="s">
        <v>38</v>
      </c>
      <c r="G130" t="s">
        <v>689</v>
      </c>
      <c r="H130" t="s">
        <v>690</v>
      </c>
      <c r="I130">
        <v>3</v>
      </c>
      <c r="J130">
        <v>30</v>
      </c>
      <c r="K130">
        <v>1.25</v>
      </c>
      <c r="L130">
        <v>8</v>
      </c>
      <c r="M130">
        <v>10</v>
      </c>
      <c r="N130">
        <v>48</v>
      </c>
      <c r="O130" t="s">
        <v>24</v>
      </c>
      <c r="P130" t="s">
        <v>25</v>
      </c>
    </row>
    <row r="131" spans="1:16" x14ac:dyDescent="0.25">
      <c r="A131" t="s">
        <v>691</v>
      </c>
      <c r="B131" t="s">
        <v>298</v>
      </c>
      <c r="C131" t="s">
        <v>50</v>
      </c>
      <c r="D131" t="s">
        <v>89</v>
      </c>
      <c r="E131" t="s">
        <v>692</v>
      </c>
      <c r="F131" t="s">
        <v>38</v>
      </c>
      <c r="G131" t="s">
        <v>693</v>
      </c>
      <c r="H131" t="s">
        <v>694</v>
      </c>
      <c r="I131">
        <v>1</v>
      </c>
      <c r="J131">
        <v>20</v>
      </c>
      <c r="K131">
        <v>1</v>
      </c>
      <c r="L131">
        <v>0</v>
      </c>
      <c r="M131">
        <v>10</v>
      </c>
      <c r="N131">
        <v>30</v>
      </c>
      <c r="O131" t="s">
        <v>24</v>
      </c>
      <c r="P131" t="s">
        <v>25</v>
      </c>
    </row>
    <row r="132" spans="1:16" x14ac:dyDescent="0.25">
      <c r="A132" t="s">
        <v>695</v>
      </c>
      <c r="B132" t="s">
        <v>304</v>
      </c>
      <c r="C132" t="s">
        <v>18</v>
      </c>
      <c r="D132" t="s">
        <v>95</v>
      </c>
      <c r="E132" t="s">
        <v>696</v>
      </c>
      <c r="F132" t="s">
        <v>53</v>
      </c>
      <c r="G132" t="s">
        <v>278</v>
      </c>
      <c r="H132" t="s">
        <v>697</v>
      </c>
      <c r="I132">
        <v>1.5</v>
      </c>
      <c r="J132">
        <v>90</v>
      </c>
      <c r="K132">
        <v>1.25</v>
      </c>
      <c r="L132">
        <v>23</v>
      </c>
      <c r="M132">
        <v>10</v>
      </c>
      <c r="N132">
        <v>123</v>
      </c>
      <c r="O132" t="s">
        <v>56</v>
      </c>
      <c r="P132" t="s">
        <v>57</v>
      </c>
    </row>
    <row r="133" spans="1:16" x14ac:dyDescent="0.25">
      <c r="A133" t="s">
        <v>698</v>
      </c>
      <c r="B133" t="s">
        <v>310</v>
      </c>
      <c r="C133" t="s">
        <v>28</v>
      </c>
      <c r="D133" t="s">
        <v>101</v>
      </c>
      <c r="E133" t="s">
        <v>699</v>
      </c>
      <c r="F133" t="s">
        <v>62</v>
      </c>
      <c r="G133" t="s">
        <v>700</v>
      </c>
      <c r="H133" t="s">
        <v>701</v>
      </c>
      <c r="I133">
        <v>2</v>
      </c>
      <c r="J133">
        <v>216</v>
      </c>
      <c r="K133">
        <v>1.25</v>
      </c>
      <c r="L133">
        <v>54</v>
      </c>
      <c r="M133">
        <v>10</v>
      </c>
      <c r="N133">
        <v>280</v>
      </c>
      <c r="O133" t="s">
        <v>65</v>
      </c>
      <c r="P133" t="s">
        <v>25</v>
      </c>
    </row>
    <row r="134" spans="1:16" x14ac:dyDescent="0.25">
      <c r="A134" t="s">
        <v>702</v>
      </c>
      <c r="B134" t="s">
        <v>316</v>
      </c>
      <c r="C134" t="s">
        <v>35</v>
      </c>
      <c r="D134" t="s">
        <v>107</v>
      </c>
      <c r="E134" t="s">
        <v>703</v>
      </c>
      <c r="F134" t="s">
        <v>21</v>
      </c>
      <c r="G134" t="s">
        <v>704</v>
      </c>
      <c r="H134" t="s">
        <v>705</v>
      </c>
      <c r="I134">
        <v>2.5</v>
      </c>
      <c r="J134">
        <v>88</v>
      </c>
      <c r="K134">
        <v>1</v>
      </c>
      <c r="L134">
        <v>0</v>
      </c>
      <c r="M134">
        <v>10</v>
      </c>
      <c r="N134">
        <v>98</v>
      </c>
      <c r="O134" t="s">
        <v>72</v>
      </c>
      <c r="P134" t="s">
        <v>73</v>
      </c>
    </row>
    <row r="135" spans="1:16" x14ac:dyDescent="0.25">
      <c r="A135" t="s">
        <v>706</v>
      </c>
      <c r="B135" t="s">
        <v>322</v>
      </c>
      <c r="C135" t="s">
        <v>43</v>
      </c>
      <c r="D135" t="s">
        <v>113</v>
      </c>
      <c r="E135" t="s">
        <v>707</v>
      </c>
      <c r="F135" t="s">
        <v>21</v>
      </c>
      <c r="G135" t="s">
        <v>708</v>
      </c>
      <c r="H135" t="s">
        <v>709</v>
      </c>
      <c r="I135">
        <v>3</v>
      </c>
      <c r="J135">
        <v>90</v>
      </c>
      <c r="K135">
        <v>1.25</v>
      </c>
      <c r="L135">
        <v>23</v>
      </c>
      <c r="M135">
        <v>10</v>
      </c>
      <c r="N135">
        <v>123</v>
      </c>
      <c r="O135" t="s">
        <v>80</v>
      </c>
      <c r="P135" t="s">
        <v>25</v>
      </c>
    </row>
    <row r="136" spans="1:16" x14ac:dyDescent="0.25">
      <c r="A136" t="s">
        <v>710</v>
      </c>
      <c r="B136" t="s">
        <v>328</v>
      </c>
      <c r="C136" t="s">
        <v>50</v>
      </c>
      <c r="D136" t="s">
        <v>119</v>
      </c>
      <c r="E136" t="s">
        <v>711</v>
      </c>
      <c r="F136" t="s">
        <v>21</v>
      </c>
      <c r="G136" t="s">
        <v>712</v>
      </c>
      <c r="H136" t="s">
        <v>713</v>
      </c>
      <c r="I136">
        <v>1</v>
      </c>
      <c r="J136">
        <v>40</v>
      </c>
      <c r="K136">
        <v>1.25</v>
      </c>
      <c r="L136">
        <v>10</v>
      </c>
      <c r="M136">
        <v>10</v>
      </c>
      <c r="N136">
        <v>35</v>
      </c>
      <c r="O136" t="s">
        <v>24</v>
      </c>
      <c r="P136" t="s">
        <v>25</v>
      </c>
    </row>
    <row r="137" spans="1:16" x14ac:dyDescent="0.25">
      <c r="A137" t="s">
        <v>714</v>
      </c>
      <c r="B137" t="s">
        <v>334</v>
      </c>
      <c r="C137" t="s">
        <v>18</v>
      </c>
      <c r="D137" t="s">
        <v>125</v>
      </c>
      <c r="E137" t="s">
        <v>715</v>
      </c>
      <c r="F137" t="s">
        <v>38</v>
      </c>
      <c r="G137" t="s">
        <v>716</v>
      </c>
      <c r="H137" t="s">
        <v>717</v>
      </c>
      <c r="I137">
        <v>1.5</v>
      </c>
      <c r="J137">
        <v>38</v>
      </c>
      <c r="K137">
        <v>1.25</v>
      </c>
      <c r="L137">
        <v>10</v>
      </c>
      <c r="M137">
        <v>10</v>
      </c>
      <c r="N137">
        <v>58</v>
      </c>
      <c r="O137" t="s">
        <v>24</v>
      </c>
      <c r="P137" t="s">
        <v>25</v>
      </c>
    </row>
    <row r="138" spans="1:16" x14ac:dyDescent="0.25">
      <c r="A138" t="s">
        <v>718</v>
      </c>
      <c r="B138" t="s">
        <v>340</v>
      </c>
      <c r="C138" t="s">
        <v>28</v>
      </c>
      <c r="D138" t="s">
        <v>131</v>
      </c>
      <c r="E138" t="s">
        <v>719</v>
      </c>
      <c r="F138" t="s">
        <v>38</v>
      </c>
      <c r="G138" t="s">
        <v>720</v>
      </c>
      <c r="H138" t="s">
        <v>721</v>
      </c>
      <c r="I138">
        <v>2</v>
      </c>
      <c r="J138">
        <v>60</v>
      </c>
      <c r="K138">
        <v>1</v>
      </c>
      <c r="L138">
        <v>0</v>
      </c>
      <c r="M138">
        <v>10</v>
      </c>
      <c r="N138">
        <v>70</v>
      </c>
      <c r="O138" t="s">
        <v>24</v>
      </c>
      <c r="P138" t="s">
        <v>25</v>
      </c>
    </row>
    <row r="139" spans="1:16" x14ac:dyDescent="0.25">
      <c r="A139" t="s">
        <v>722</v>
      </c>
      <c r="B139" t="s">
        <v>346</v>
      </c>
      <c r="C139" t="s">
        <v>35</v>
      </c>
      <c r="D139" t="s">
        <v>137</v>
      </c>
      <c r="E139" t="s">
        <v>723</v>
      </c>
      <c r="F139" t="s">
        <v>53</v>
      </c>
      <c r="G139" t="s">
        <v>724</v>
      </c>
      <c r="H139" t="s">
        <v>725</v>
      </c>
      <c r="I139">
        <v>2.5</v>
      </c>
      <c r="J139">
        <v>113</v>
      </c>
      <c r="K139">
        <v>1.25</v>
      </c>
      <c r="L139">
        <v>28</v>
      </c>
      <c r="M139">
        <v>10</v>
      </c>
      <c r="N139">
        <v>151</v>
      </c>
      <c r="O139" t="s">
        <v>24</v>
      </c>
      <c r="P139" t="s">
        <v>25</v>
      </c>
    </row>
    <row r="140" spans="1:16" x14ac:dyDescent="0.25">
      <c r="A140" t="s">
        <v>726</v>
      </c>
      <c r="B140" t="s">
        <v>352</v>
      </c>
      <c r="C140" t="s">
        <v>43</v>
      </c>
      <c r="D140" t="s">
        <v>143</v>
      </c>
      <c r="E140" t="s">
        <v>727</v>
      </c>
      <c r="F140" t="s">
        <v>62</v>
      </c>
      <c r="G140" t="s">
        <v>728</v>
      </c>
      <c r="H140" t="s">
        <v>729</v>
      </c>
      <c r="I140">
        <v>3</v>
      </c>
      <c r="J140">
        <v>162</v>
      </c>
      <c r="K140">
        <v>1.25</v>
      </c>
      <c r="L140">
        <v>41</v>
      </c>
      <c r="M140">
        <v>10</v>
      </c>
      <c r="N140">
        <v>213</v>
      </c>
      <c r="O140" t="s">
        <v>24</v>
      </c>
      <c r="P140" t="s">
        <v>25</v>
      </c>
    </row>
    <row r="141" spans="1:16" x14ac:dyDescent="0.25">
      <c r="A141" t="s">
        <v>730</v>
      </c>
      <c r="B141" t="s">
        <v>358</v>
      </c>
      <c r="C141" t="s">
        <v>50</v>
      </c>
      <c r="D141" t="s">
        <v>149</v>
      </c>
      <c r="E141" t="s">
        <v>731</v>
      </c>
      <c r="F141" t="s">
        <v>21</v>
      </c>
      <c r="G141" t="s">
        <v>732</v>
      </c>
      <c r="H141" t="s">
        <v>733</v>
      </c>
      <c r="I141">
        <v>1</v>
      </c>
      <c r="J141">
        <v>40</v>
      </c>
      <c r="K141">
        <v>1.25</v>
      </c>
      <c r="L141">
        <v>10</v>
      </c>
      <c r="M141">
        <v>10</v>
      </c>
      <c r="N141">
        <v>35</v>
      </c>
      <c r="O141" t="s">
        <v>56</v>
      </c>
      <c r="P141" t="s">
        <v>57</v>
      </c>
    </row>
    <row r="142" spans="1:16" x14ac:dyDescent="0.25">
      <c r="A142" t="s">
        <v>734</v>
      </c>
      <c r="B142" t="s">
        <v>364</v>
      </c>
      <c r="C142" t="s">
        <v>18</v>
      </c>
      <c r="D142" t="s">
        <v>155</v>
      </c>
      <c r="E142" t="s">
        <v>735</v>
      </c>
      <c r="F142" t="s">
        <v>21</v>
      </c>
      <c r="G142" t="s">
        <v>736</v>
      </c>
      <c r="H142" t="s">
        <v>737</v>
      </c>
      <c r="I142">
        <v>1.5</v>
      </c>
      <c r="J142">
        <v>75</v>
      </c>
      <c r="K142">
        <v>1.25</v>
      </c>
      <c r="L142">
        <v>19</v>
      </c>
      <c r="M142">
        <v>10</v>
      </c>
      <c r="N142">
        <v>104</v>
      </c>
      <c r="O142" t="s">
        <v>65</v>
      </c>
      <c r="P142" t="s">
        <v>25</v>
      </c>
    </row>
    <row r="143" spans="1:16" x14ac:dyDescent="0.25">
      <c r="A143" t="s">
        <v>738</v>
      </c>
      <c r="B143" t="s">
        <v>370</v>
      </c>
      <c r="C143" t="s">
        <v>28</v>
      </c>
      <c r="D143" t="s">
        <v>161</v>
      </c>
      <c r="E143" t="s">
        <v>739</v>
      </c>
      <c r="F143" t="s">
        <v>21</v>
      </c>
      <c r="G143" t="s">
        <v>740</v>
      </c>
      <c r="H143" t="s">
        <v>741</v>
      </c>
      <c r="I143">
        <v>2</v>
      </c>
      <c r="J143">
        <v>120</v>
      </c>
      <c r="K143">
        <v>1.25</v>
      </c>
      <c r="L143">
        <v>30</v>
      </c>
      <c r="M143">
        <v>10</v>
      </c>
      <c r="N143">
        <v>160</v>
      </c>
      <c r="O143" t="s">
        <v>72</v>
      </c>
      <c r="P143" t="s">
        <v>73</v>
      </c>
    </row>
    <row r="144" spans="1:16" x14ac:dyDescent="0.25">
      <c r="A144" t="s">
        <v>742</v>
      </c>
      <c r="B144" t="s">
        <v>376</v>
      </c>
      <c r="C144" t="s">
        <v>35</v>
      </c>
      <c r="D144" t="s">
        <v>167</v>
      </c>
      <c r="E144" t="s">
        <v>743</v>
      </c>
      <c r="F144" t="s">
        <v>38</v>
      </c>
      <c r="G144" t="s">
        <v>744</v>
      </c>
      <c r="H144" t="s">
        <v>745</v>
      </c>
      <c r="I144">
        <v>2.5</v>
      </c>
      <c r="J144">
        <v>38</v>
      </c>
      <c r="K144">
        <v>1.25</v>
      </c>
      <c r="L144">
        <v>10</v>
      </c>
      <c r="M144">
        <v>10</v>
      </c>
      <c r="N144">
        <v>58</v>
      </c>
      <c r="O144" t="s">
        <v>80</v>
      </c>
      <c r="P144" t="s">
        <v>25</v>
      </c>
    </row>
    <row r="145" spans="1:16" x14ac:dyDescent="0.25">
      <c r="A145" t="s">
        <v>746</v>
      </c>
      <c r="B145" t="s">
        <v>382</v>
      </c>
      <c r="C145" t="s">
        <v>43</v>
      </c>
      <c r="D145" t="s">
        <v>173</v>
      </c>
      <c r="E145" t="s">
        <v>747</v>
      </c>
      <c r="F145" t="s">
        <v>38</v>
      </c>
      <c r="G145" t="s">
        <v>748</v>
      </c>
      <c r="H145" t="s">
        <v>749</v>
      </c>
      <c r="I145">
        <v>3</v>
      </c>
      <c r="J145">
        <v>30</v>
      </c>
      <c r="K145">
        <v>1.25</v>
      </c>
      <c r="L145">
        <v>8</v>
      </c>
      <c r="M145">
        <v>10</v>
      </c>
      <c r="N145">
        <v>48</v>
      </c>
      <c r="O145" t="s">
        <v>24</v>
      </c>
      <c r="P145" t="s">
        <v>25</v>
      </c>
    </row>
    <row r="146" spans="1:16" x14ac:dyDescent="0.25">
      <c r="A146" t="s">
        <v>750</v>
      </c>
      <c r="B146" t="s">
        <v>388</v>
      </c>
      <c r="C146" t="s">
        <v>50</v>
      </c>
      <c r="D146" t="s">
        <v>179</v>
      </c>
      <c r="E146" t="s">
        <v>751</v>
      </c>
      <c r="F146" t="s">
        <v>53</v>
      </c>
      <c r="G146" t="s">
        <v>752</v>
      </c>
      <c r="H146" t="s">
        <v>753</v>
      </c>
      <c r="I146">
        <v>1</v>
      </c>
      <c r="J146">
        <v>50</v>
      </c>
      <c r="K146">
        <v>1.25</v>
      </c>
      <c r="L146">
        <v>13</v>
      </c>
      <c r="M146">
        <v>10</v>
      </c>
      <c r="N146">
        <v>48</v>
      </c>
      <c r="O146" t="s">
        <v>24</v>
      </c>
      <c r="P146" t="s">
        <v>25</v>
      </c>
    </row>
    <row r="147" spans="1:16" x14ac:dyDescent="0.25">
      <c r="A147" t="s">
        <v>754</v>
      </c>
      <c r="B147" t="s">
        <v>394</v>
      </c>
      <c r="C147" t="s">
        <v>18</v>
      </c>
      <c r="D147" t="s">
        <v>185</v>
      </c>
      <c r="E147" t="s">
        <v>755</v>
      </c>
      <c r="F147" t="s">
        <v>62</v>
      </c>
      <c r="G147" t="s">
        <v>756</v>
      </c>
      <c r="H147" t="s">
        <v>757</v>
      </c>
      <c r="I147">
        <v>1.5</v>
      </c>
      <c r="J147">
        <v>135</v>
      </c>
      <c r="K147">
        <v>1.25</v>
      </c>
      <c r="L147">
        <v>34</v>
      </c>
      <c r="M147">
        <v>10</v>
      </c>
      <c r="N147">
        <v>179</v>
      </c>
      <c r="O147" t="s">
        <v>24</v>
      </c>
      <c r="P147" t="s">
        <v>25</v>
      </c>
    </row>
    <row r="148" spans="1:16" x14ac:dyDescent="0.25">
      <c r="A148" t="s">
        <v>758</v>
      </c>
      <c r="B148" t="s">
        <v>399</v>
      </c>
      <c r="C148" t="s">
        <v>28</v>
      </c>
      <c r="D148" t="s">
        <v>191</v>
      </c>
      <c r="E148" t="s">
        <v>759</v>
      </c>
      <c r="F148" t="s">
        <v>21</v>
      </c>
      <c r="G148" t="s">
        <v>760</v>
      </c>
      <c r="H148" t="s">
        <v>761</v>
      </c>
      <c r="I148">
        <v>2</v>
      </c>
      <c r="J148">
        <v>120</v>
      </c>
      <c r="K148">
        <v>1.25</v>
      </c>
      <c r="L148">
        <v>30</v>
      </c>
      <c r="M148">
        <v>10</v>
      </c>
      <c r="N148">
        <v>160</v>
      </c>
      <c r="O148" t="s">
        <v>24</v>
      </c>
      <c r="P148" t="s">
        <v>25</v>
      </c>
    </row>
    <row r="149" spans="1:16" x14ac:dyDescent="0.25">
      <c r="A149" t="s">
        <v>762</v>
      </c>
      <c r="B149" t="s">
        <v>404</v>
      </c>
      <c r="C149" t="s">
        <v>35</v>
      </c>
      <c r="D149" t="s">
        <v>197</v>
      </c>
      <c r="E149" t="s">
        <v>763</v>
      </c>
      <c r="F149" t="s">
        <v>21</v>
      </c>
      <c r="G149" t="s">
        <v>764</v>
      </c>
      <c r="H149" t="s">
        <v>765</v>
      </c>
      <c r="I149">
        <v>2.5</v>
      </c>
      <c r="J149">
        <v>88</v>
      </c>
      <c r="K149">
        <v>1.25</v>
      </c>
      <c r="L149">
        <v>22</v>
      </c>
      <c r="M149">
        <v>10</v>
      </c>
      <c r="N149">
        <v>120</v>
      </c>
      <c r="O149" t="s">
        <v>24</v>
      </c>
      <c r="P149" t="s">
        <v>25</v>
      </c>
    </row>
    <row r="150" spans="1:16" x14ac:dyDescent="0.25">
      <c r="A150" t="s">
        <v>766</v>
      </c>
      <c r="B150" t="s">
        <v>409</v>
      </c>
      <c r="C150" t="s">
        <v>43</v>
      </c>
      <c r="D150" t="s">
        <v>203</v>
      </c>
      <c r="E150" t="s">
        <v>767</v>
      </c>
      <c r="F150" t="s">
        <v>21</v>
      </c>
      <c r="G150" t="s">
        <v>768</v>
      </c>
      <c r="H150" t="s">
        <v>769</v>
      </c>
      <c r="I150">
        <v>3</v>
      </c>
      <c r="J150">
        <v>90</v>
      </c>
      <c r="K150">
        <v>1.25</v>
      </c>
      <c r="L150">
        <v>23</v>
      </c>
      <c r="M150">
        <v>10</v>
      </c>
      <c r="N150">
        <v>123</v>
      </c>
      <c r="O150" t="s">
        <v>56</v>
      </c>
      <c r="P150" t="s">
        <v>57</v>
      </c>
    </row>
    <row r="151" spans="1:16" x14ac:dyDescent="0.25">
      <c r="A151" t="s">
        <v>770</v>
      </c>
      <c r="B151" t="s">
        <v>414</v>
      </c>
      <c r="C151" t="s">
        <v>50</v>
      </c>
      <c r="D151" t="s">
        <v>209</v>
      </c>
      <c r="E151" t="s">
        <v>771</v>
      </c>
      <c r="F151" t="s">
        <v>38</v>
      </c>
      <c r="G151" t="s">
        <v>772</v>
      </c>
      <c r="H151" t="s">
        <v>773</v>
      </c>
      <c r="I151">
        <v>1</v>
      </c>
      <c r="J151">
        <v>20</v>
      </c>
      <c r="K151">
        <v>1.25</v>
      </c>
      <c r="L151">
        <v>5</v>
      </c>
      <c r="M151">
        <v>10</v>
      </c>
      <c r="N151">
        <v>10</v>
      </c>
      <c r="O151" t="s">
        <v>65</v>
      </c>
      <c r="P151" t="s">
        <v>25</v>
      </c>
    </row>
    <row r="152" spans="1:16" x14ac:dyDescent="0.25">
      <c r="A152" t="s">
        <v>774</v>
      </c>
      <c r="B152" t="s">
        <v>419</v>
      </c>
      <c r="C152" t="s">
        <v>18</v>
      </c>
      <c r="D152" t="s">
        <v>215</v>
      </c>
      <c r="E152" t="s">
        <v>775</v>
      </c>
      <c r="F152" t="s">
        <v>38</v>
      </c>
      <c r="G152" t="s">
        <v>776</v>
      </c>
      <c r="H152" t="s">
        <v>777</v>
      </c>
      <c r="I152">
        <v>1.5</v>
      </c>
      <c r="J152">
        <v>38</v>
      </c>
      <c r="K152">
        <v>1</v>
      </c>
      <c r="L152">
        <v>0</v>
      </c>
      <c r="M152">
        <v>10</v>
      </c>
      <c r="N152">
        <v>48</v>
      </c>
      <c r="O152" t="s">
        <v>72</v>
      </c>
      <c r="P152" t="s">
        <v>73</v>
      </c>
    </row>
    <row r="153" spans="1:16" x14ac:dyDescent="0.25">
      <c r="A153" t="s">
        <v>778</v>
      </c>
      <c r="B153" t="s">
        <v>424</v>
      </c>
      <c r="C153" t="s">
        <v>28</v>
      </c>
      <c r="D153" t="s">
        <v>221</v>
      </c>
      <c r="E153" t="s">
        <v>779</v>
      </c>
      <c r="F153" t="s">
        <v>53</v>
      </c>
      <c r="G153" t="s">
        <v>780</v>
      </c>
      <c r="H153" t="s">
        <v>781</v>
      </c>
      <c r="I153">
        <v>2</v>
      </c>
      <c r="J153">
        <v>140</v>
      </c>
      <c r="K153">
        <v>1.25</v>
      </c>
      <c r="L153">
        <v>35</v>
      </c>
      <c r="M153">
        <v>10</v>
      </c>
      <c r="N153">
        <v>185</v>
      </c>
      <c r="O153" t="s">
        <v>80</v>
      </c>
      <c r="P153" t="s">
        <v>25</v>
      </c>
    </row>
    <row r="154" spans="1:16" x14ac:dyDescent="0.25">
      <c r="A154" t="s">
        <v>782</v>
      </c>
      <c r="B154" t="s">
        <v>429</v>
      </c>
      <c r="C154" t="s">
        <v>35</v>
      </c>
      <c r="D154" t="s">
        <v>227</v>
      </c>
      <c r="E154" t="s">
        <v>783</v>
      </c>
      <c r="F154" t="s">
        <v>62</v>
      </c>
      <c r="G154" t="s">
        <v>784</v>
      </c>
      <c r="H154" t="s">
        <v>785</v>
      </c>
      <c r="I154">
        <v>2.5</v>
      </c>
      <c r="J154">
        <v>158</v>
      </c>
      <c r="K154">
        <v>1.25</v>
      </c>
      <c r="L154">
        <v>40</v>
      </c>
      <c r="M154">
        <v>10</v>
      </c>
      <c r="N154">
        <v>208</v>
      </c>
      <c r="O154" t="s">
        <v>24</v>
      </c>
      <c r="P154" t="s">
        <v>25</v>
      </c>
    </row>
    <row r="155" spans="1:16" x14ac:dyDescent="0.25">
      <c r="A155" t="s">
        <v>786</v>
      </c>
      <c r="B155" t="s">
        <v>434</v>
      </c>
      <c r="C155" t="s">
        <v>43</v>
      </c>
      <c r="D155" t="s">
        <v>233</v>
      </c>
      <c r="E155" t="s">
        <v>787</v>
      </c>
      <c r="F155" t="s">
        <v>21</v>
      </c>
      <c r="G155" t="s">
        <v>788</v>
      </c>
      <c r="H155" t="s">
        <v>789</v>
      </c>
      <c r="I155">
        <v>3</v>
      </c>
      <c r="J155">
        <v>90</v>
      </c>
      <c r="K155">
        <v>1</v>
      </c>
      <c r="L155">
        <v>0</v>
      </c>
      <c r="M155">
        <v>10</v>
      </c>
      <c r="N155">
        <v>100</v>
      </c>
      <c r="O155" t="s">
        <v>24</v>
      </c>
      <c r="P155" t="s">
        <v>25</v>
      </c>
    </row>
    <row r="156" spans="1:16" x14ac:dyDescent="0.25">
      <c r="A156" t="s">
        <v>790</v>
      </c>
      <c r="B156" t="s">
        <v>439</v>
      </c>
      <c r="C156" t="s">
        <v>50</v>
      </c>
      <c r="D156" t="s">
        <v>239</v>
      </c>
      <c r="E156" t="s">
        <v>791</v>
      </c>
      <c r="F156" t="s">
        <v>21</v>
      </c>
      <c r="G156" t="s">
        <v>792</v>
      </c>
      <c r="H156" t="s">
        <v>793</v>
      </c>
      <c r="I156">
        <v>1</v>
      </c>
      <c r="J156">
        <v>40</v>
      </c>
      <c r="K156">
        <v>1</v>
      </c>
      <c r="L156">
        <v>0</v>
      </c>
      <c r="M156">
        <v>10</v>
      </c>
      <c r="N156">
        <v>50</v>
      </c>
      <c r="O156" t="s">
        <v>24</v>
      </c>
      <c r="P156" t="s">
        <v>25</v>
      </c>
    </row>
    <row r="157" spans="1:16" x14ac:dyDescent="0.25">
      <c r="A157" t="s">
        <v>794</v>
      </c>
      <c r="B157" t="s">
        <v>444</v>
      </c>
      <c r="C157" t="s">
        <v>18</v>
      </c>
      <c r="D157" t="s">
        <v>245</v>
      </c>
      <c r="E157" t="s">
        <v>795</v>
      </c>
      <c r="F157" t="s">
        <v>21</v>
      </c>
      <c r="G157" t="s">
        <v>796</v>
      </c>
      <c r="H157" t="s">
        <v>797</v>
      </c>
      <c r="I157">
        <v>1.5</v>
      </c>
      <c r="J157">
        <v>75</v>
      </c>
      <c r="K157">
        <v>1.25</v>
      </c>
      <c r="L157">
        <v>19</v>
      </c>
      <c r="M157">
        <v>10</v>
      </c>
      <c r="N157">
        <v>104</v>
      </c>
      <c r="O157" t="s">
        <v>24</v>
      </c>
      <c r="P157" t="s">
        <v>25</v>
      </c>
    </row>
    <row r="158" spans="1:16" x14ac:dyDescent="0.25">
      <c r="A158" t="s">
        <v>798</v>
      </c>
      <c r="B158" t="s">
        <v>449</v>
      </c>
      <c r="C158" t="s">
        <v>28</v>
      </c>
      <c r="D158" t="s">
        <v>251</v>
      </c>
      <c r="E158" t="s">
        <v>799</v>
      </c>
      <c r="F158" t="s">
        <v>38</v>
      </c>
      <c r="G158" t="s">
        <v>800</v>
      </c>
      <c r="H158" t="s">
        <v>801</v>
      </c>
      <c r="I158">
        <v>2</v>
      </c>
      <c r="J158">
        <v>60</v>
      </c>
      <c r="K158">
        <v>1.25</v>
      </c>
      <c r="L158">
        <v>15</v>
      </c>
      <c r="M158">
        <v>10</v>
      </c>
      <c r="N158">
        <v>85</v>
      </c>
      <c r="O158" t="s">
        <v>24</v>
      </c>
      <c r="P158" t="s">
        <v>25</v>
      </c>
    </row>
    <row r="159" spans="1:16" x14ac:dyDescent="0.25">
      <c r="A159" t="s">
        <v>802</v>
      </c>
      <c r="B159" t="s">
        <v>454</v>
      </c>
      <c r="C159" t="s">
        <v>35</v>
      </c>
      <c r="D159" t="s">
        <v>257</v>
      </c>
      <c r="E159" t="s">
        <v>803</v>
      </c>
      <c r="F159" t="s">
        <v>38</v>
      </c>
      <c r="G159" t="s">
        <v>804</v>
      </c>
      <c r="H159" t="s">
        <v>431</v>
      </c>
      <c r="I159">
        <v>2.5</v>
      </c>
      <c r="J159">
        <v>38</v>
      </c>
      <c r="K159">
        <v>1</v>
      </c>
      <c r="L159">
        <v>0</v>
      </c>
      <c r="M159">
        <v>10</v>
      </c>
      <c r="N159">
        <v>48</v>
      </c>
      <c r="O159" t="s">
        <v>56</v>
      </c>
      <c r="P159" t="s">
        <v>57</v>
      </c>
    </row>
    <row r="160" spans="1:16" x14ac:dyDescent="0.25">
      <c r="A160" t="s">
        <v>805</v>
      </c>
      <c r="B160" t="s">
        <v>459</v>
      </c>
      <c r="C160" t="s">
        <v>43</v>
      </c>
      <c r="D160" t="s">
        <v>263</v>
      </c>
      <c r="E160" t="s">
        <v>806</v>
      </c>
      <c r="F160" t="s">
        <v>53</v>
      </c>
      <c r="G160" t="s">
        <v>807</v>
      </c>
      <c r="H160" t="s">
        <v>808</v>
      </c>
      <c r="I160">
        <v>3</v>
      </c>
      <c r="J160">
        <v>120</v>
      </c>
      <c r="K160">
        <v>1.25</v>
      </c>
      <c r="L160">
        <v>30</v>
      </c>
      <c r="M160">
        <v>10</v>
      </c>
      <c r="N160">
        <v>160</v>
      </c>
      <c r="O160" t="s">
        <v>65</v>
      </c>
      <c r="P160" t="s">
        <v>25</v>
      </c>
    </row>
    <row r="161" spans="1:16" x14ac:dyDescent="0.25">
      <c r="A161" t="s">
        <v>809</v>
      </c>
      <c r="B161" t="s">
        <v>464</v>
      </c>
      <c r="C161" t="s">
        <v>50</v>
      </c>
      <c r="D161" t="s">
        <v>269</v>
      </c>
      <c r="E161" t="s">
        <v>810</v>
      </c>
      <c r="F161" t="s">
        <v>62</v>
      </c>
      <c r="G161" t="s">
        <v>811</v>
      </c>
      <c r="H161" t="s">
        <v>812</v>
      </c>
      <c r="I161">
        <v>1</v>
      </c>
      <c r="J161">
        <v>72</v>
      </c>
      <c r="K161">
        <v>1.25</v>
      </c>
      <c r="L161">
        <v>18</v>
      </c>
      <c r="M161">
        <v>10</v>
      </c>
      <c r="N161">
        <v>75</v>
      </c>
      <c r="O161" t="s">
        <v>72</v>
      </c>
      <c r="P161" t="s">
        <v>73</v>
      </c>
    </row>
    <row r="162" spans="1:16" x14ac:dyDescent="0.25">
      <c r="A162" t="s">
        <v>813</v>
      </c>
      <c r="B162" t="s">
        <v>469</v>
      </c>
      <c r="C162" t="s">
        <v>18</v>
      </c>
      <c r="D162" t="s">
        <v>275</v>
      </c>
      <c r="E162" t="s">
        <v>814</v>
      </c>
      <c r="F162" t="s">
        <v>21</v>
      </c>
      <c r="G162" t="s">
        <v>815</v>
      </c>
      <c r="H162" t="s">
        <v>816</v>
      </c>
      <c r="I162">
        <v>1.5</v>
      </c>
      <c r="J162">
        <v>75</v>
      </c>
      <c r="K162">
        <v>1</v>
      </c>
      <c r="L162">
        <v>0</v>
      </c>
      <c r="M162">
        <v>10</v>
      </c>
      <c r="N162">
        <v>85</v>
      </c>
      <c r="O162" t="s">
        <v>80</v>
      </c>
      <c r="P162" t="s">
        <v>25</v>
      </c>
    </row>
    <row r="163" spans="1:16" x14ac:dyDescent="0.25">
      <c r="A163" t="s">
        <v>817</v>
      </c>
      <c r="B163" t="s">
        <v>474</v>
      </c>
      <c r="C163" t="s">
        <v>28</v>
      </c>
      <c r="D163" t="s">
        <v>281</v>
      </c>
      <c r="E163" t="s">
        <v>818</v>
      </c>
      <c r="F163" t="s">
        <v>21</v>
      </c>
      <c r="G163" t="s">
        <v>819</v>
      </c>
      <c r="H163" t="s">
        <v>820</v>
      </c>
      <c r="I163">
        <v>2</v>
      </c>
      <c r="J163">
        <v>120</v>
      </c>
      <c r="K163">
        <v>1.25</v>
      </c>
      <c r="L163">
        <v>30</v>
      </c>
      <c r="M163">
        <v>10</v>
      </c>
      <c r="N163">
        <v>160</v>
      </c>
      <c r="O163" t="s">
        <v>24</v>
      </c>
      <c r="P163" t="s">
        <v>25</v>
      </c>
    </row>
    <row r="164" spans="1:16" x14ac:dyDescent="0.25">
      <c r="A164" t="s">
        <v>821</v>
      </c>
      <c r="B164" t="s">
        <v>479</v>
      </c>
      <c r="C164" t="s">
        <v>35</v>
      </c>
      <c r="D164" t="s">
        <v>287</v>
      </c>
      <c r="E164" t="s">
        <v>822</v>
      </c>
      <c r="F164" t="s">
        <v>21</v>
      </c>
      <c r="G164" t="s">
        <v>457</v>
      </c>
      <c r="H164" t="s">
        <v>823</v>
      </c>
      <c r="I164">
        <v>2.5</v>
      </c>
      <c r="J164">
        <v>88</v>
      </c>
      <c r="K164">
        <v>1.25</v>
      </c>
      <c r="L164">
        <v>22</v>
      </c>
      <c r="M164">
        <v>10</v>
      </c>
      <c r="N164">
        <v>120</v>
      </c>
      <c r="O164" t="s">
        <v>24</v>
      </c>
      <c r="P164" t="s">
        <v>25</v>
      </c>
    </row>
    <row r="165" spans="1:16" x14ac:dyDescent="0.25">
      <c r="A165" t="s">
        <v>824</v>
      </c>
      <c r="B165" t="s">
        <v>484</v>
      </c>
      <c r="C165" t="s">
        <v>43</v>
      </c>
      <c r="D165" t="s">
        <v>293</v>
      </c>
      <c r="E165" t="s">
        <v>825</v>
      </c>
      <c r="F165" t="s">
        <v>38</v>
      </c>
      <c r="G165" t="s">
        <v>826</v>
      </c>
      <c r="H165" t="s">
        <v>827</v>
      </c>
      <c r="I165">
        <v>3</v>
      </c>
      <c r="J165">
        <v>30</v>
      </c>
      <c r="K165">
        <v>1.25</v>
      </c>
      <c r="L165">
        <v>8</v>
      </c>
      <c r="M165">
        <v>10</v>
      </c>
      <c r="N165">
        <v>48</v>
      </c>
      <c r="O165" t="s">
        <v>24</v>
      </c>
      <c r="P165" t="s">
        <v>25</v>
      </c>
    </row>
    <row r="166" spans="1:16" x14ac:dyDescent="0.25">
      <c r="A166" t="s">
        <v>828</v>
      </c>
      <c r="B166" t="s">
        <v>489</v>
      </c>
      <c r="C166" t="s">
        <v>50</v>
      </c>
      <c r="D166" t="s">
        <v>299</v>
      </c>
      <c r="E166" t="s">
        <v>829</v>
      </c>
      <c r="F166" t="s">
        <v>38</v>
      </c>
      <c r="G166" t="s">
        <v>830</v>
      </c>
      <c r="H166" t="s">
        <v>831</v>
      </c>
      <c r="I166">
        <v>1</v>
      </c>
      <c r="J166">
        <v>20</v>
      </c>
      <c r="K166">
        <v>1.25</v>
      </c>
      <c r="L166">
        <v>5</v>
      </c>
      <c r="M166">
        <v>10</v>
      </c>
      <c r="N166">
        <v>35</v>
      </c>
      <c r="O166" t="s">
        <v>24</v>
      </c>
      <c r="P166" t="s">
        <v>25</v>
      </c>
    </row>
    <row r="167" spans="1:16" x14ac:dyDescent="0.25">
      <c r="A167" t="s">
        <v>832</v>
      </c>
      <c r="B167" t="s">
        <v>494</v>
      </c>
      <c r="C167" t="s">
        <v>18</v>
      </c>
      <c r="D167" t="s">
        <v>305</v>
      </c>
      <c r="E167" t="s">
        <v>833</v>
      </c>
      <c r="F167" t="s">
        <v>53</v>
      </c>
      <c r="G167" t="s">
        <v>834</v>
      </c>
      <c r="H167" t="s">
        <v>835</v>
      </c>
      <c r="I167">
        <v>1.5</v>
      </c>
      <c r="J167">
        <v>90</v>
      </c>
      <c r="K167">
        <v>1</v>
      </c>
      <c r="L167">
        <v>0</v>
      </c>
      <c r="M167">
        <v>10</v>
      </c>
      <c r="N167">
        <v>100</v>
      </c>
      <c r="O167" t="s">
        <v>24</v>
      </c>
      <c r="P167" t="s">
        <v>25</v>
      </c>
    </row>
    <row r="168" spans="1:16" x14ac:dyDescent="0.25">
      <c r="A168" t="s">
        <v>836</v>
      </c>
      <c r="B168" t="s">
        <v>499</v>
      </c>
      <c r="C168" t="s">
        <v>28</v>
      </c>
      <c r="D168" t="s">
        <v>311</v>
      </c>
      <c r="E168" t="s">
        <v>837</v>
      </c>
      <c r="F168" t="s">
        <v>62</v>
      </c>
      <c r="G168" t="s">
        <v>838</v>
      </c>
      <c r="H168" t="s">
        <v>839</v>
      </c>
      <c r="I168">
        <v>2</v>
      </c>
      <c r="J168">
        <v>216</v>
      </c>
      <c r="K168">
        <v>1.25</v>
      </c>
      <c r="L168">
        <v>54</v>
      </c>
      <c r="M168">
        <v>10</v>
      </c>
      <c r="N168">
        <v>280</v>
      </c>
      <c r="O168" t="s">
        <v>56</v>
      </c>
      <c r="P168" t="s">
        <v>57</v>
      </c>
    </row>
    <row r="169" spans="1:16" x14ac:dyDescent="0.25">
      <c r="A169" t="s">
        <v>840</v>
      </c>
      <c r="B169" t="s">
        <v>504</v>
      </c>
      <c r="C169" t="s">
        <v>35</v>
      </c>
      <c r="D169" t="s">
        <v>317</v>
      </c>
      <c r="E169" t="s">
        <v>841</v>
      </c>
      <c r="F169" t="s">
        <v>21</v>
      </c>
      <c r="G169" t="s">
        <v>842</v>
      </c>
      <c r="H169" t="s">
        <v>843</v>
      </c>
      <c r="I169">
        <v>2.5</v>
      </c>
      <c r="J169">
        <v>88</v>
      </c>
      <c r="K169">
        <v>1.25</v>
      </c>
      <c r="L169">
        <v>22</v>
      </c>
      <c r="M169">
        <v>10</v>
      </c>
      <c r="N169">
        <v>120</v>
      </c>
      <c r="O169" t="s">
        <v>65</v>
      </c>
      <c r="P169" t="s">
        <v>25</v>
      </c>
    </row>
    <row r="170" spans="1:16" x14ac:dyDescent="0.25">
      <c r="A170" t="s">
        <v>844</v>
      </c>
      <c r="B170" t="s">
        <v>509</v>
      </c>
      <c r="C170" t="s">
        <v>43</v>
      </c>
      <c r="D170" t="s">
        <v>323</v>
      </c>
      <c r="E170" t="s">
        <v>845</v>
      </c>
      <c r="F170" t="s">
        <v>21</v>
      </c>
      <c r="G170" t="s">
        <v>846</v>
      </c>
      <c r="H170" t="s">
        <v>847</v>
      </c>
      <c r="I170">
        <v>3</v>
      </c>
      <c r="J170">
        <v>90</v>
      </c>
      <c r="K170">
        <v>1</v>
      </c>
      <c r="L170">
        <v>0</v>
      </c>
      <c r="M170">
        <v>10</v>
      </c>
      <c r="N170">
        <v>100</v>
      </c>
      <c r="O170" t="s">
        <v>72</v>
      </c>
      <c r="P170" t="s">
        <v>73</v>
      </c>
    </row>
    <row r="171" spans="1:16" x14ac:dyDescent="0.25">
      <c r="A171" t="s">
        <v>848</v>
      </c>
      <c r="B171" t="s">
        <v>514</v>
      </c>
      <c r="C171" t="s">
        <v>50</v>
      </c>
      <c r="D171" t="s">
        <v>329</v>
      </c>
      <c r="E171" t="s">
        <v>849</v>
      </c>
      <c r="F171" t="s">
        <v>21</v>
      </c>
      <c r="G171" t="s">
        <v>850</v>
      </c>
      <c r="H171" t="s">
        <v>851</v>
      </c>
      <c r="I171">
        <v>1</v>
      </c>
      <c r="J171">
        <v>40</v>
      </c>
      <c r="K171">
        <v>1.25</v>
      </c>
      <c r="L171">
        <v>10</v>
      </c>
      <c r="M171">
        <v>10</v>
      </c>
      <c r="N171">
        <v>35</v>
      </c>
      <c r="O171" t="s">
        <v>80</v>
      </c>
      <c r="P171" t="s">
        <v>25</v>
      </c>
    </row>
    <row r="172" spans="1:16" x14ac:dyDescent="0.25">
      <c r="A172" t="s">
        <v>852</v>
      </c>
      <c r="B172" t="s">
        <v>17</v>
      </c>
      <c r="C172" t="s">
        <v>18</v>
      </c>
      <c r="D172" t="s">
        <v>335</v>
      </c>
      <c r="E172" t="s">
        <v>853</v>
      </c>
      <c r="F172" t="s">
        <v>38</v>
      </c>
      <c r="G172" t="s">
        <v>854</v>
      </c>
      <c r="H172" t="s">
        <v>855</v>
      </c>
      <c r="I172">
        <v>1.5</v>
      </c>
      <c r="J172">
        <v>38</v>
      </c>
      <c r="K172">
        <v>1.25</v>
      </c>
      <c r="L172">
        <v>10</v>
      </c>
      <c r="M172">
        <v>10</v>
      </c>
      <c r="N172">
        <v>58</v>
      </c>
      <c r="O172" t="s">
        <v>24</v>
      </c>
      <c r="P172" t="s">
        <v>25</v>
      </c>
    </row>
    <row r="173" spans="1:16" x14ac:dyDescent="0.25">
      <c r="A173" t="s">
        <v>856</v>
      </c>
      <c r="B173" t="s">
        <v>27</v>
      </c>
      <c r="C173" t="s">
        <v>28</v>
      </c>
      <c r="D173" t="s">
        <v>341</v>
      </c>
      <c r="E173" t="s">
        <v>857</v>
      </c>
      <c r="F173" t="s">
        <v>38</v>
      </c>
      <c r="G173" t="s">
        <v>858</v>
      </c>
      <c r="H173" t="s">
        <v>859</v>
      </c>
      <c r="I173">
        <v>2</v>
      </c>
      <c r="J173">
        <v>60</v>
      </c>
      <c r="K173">
        <v>1.25</v>
      </c>
      <c r="L173">
        <v>15</v>
      </c>
      <c r="M173">
        <v>10</v>
      </c>
      <c r="N173">
        <v>85</v>
      </c>
      <c r="O173" t="s">
        <v>24</v>
      </c>
      <c r="P173" t="s">
        <v>25</v>
      </c>
    </row>
    <row r="174" spans="1:16" x14ac:dyDescent="0.25">
      <c r="A174" t="s">
        <v>860</v>
      </c>
      <c r="B174" t="s">
        <v>34</v>
      </c>
      <c r="C174" t="s">
        <v>35</v>
      </c>
      <c r="D174" t="s">
        <v>347</v>
      </c>
      <c r="E174" t="s">
        <v>861</v>
      </c>
      <c r="F174" t="s">
        <v>53</v>
      </c>
      <c r="G174" t="s">
        <v>507</v>
      </c>
      <c r="H174" t="s">
        <v>862</v>
      </c>
      <c r="I174">
        <v>2.5</v>
      </c>
      <c r="J174">
        <v>113</v>
      </c>
      <c r="K174">
        <v>1.25</v>
      </c>
      <c r="L174">
        <v>28</v>
      </c>
      <c r="M174">
        <v>10</v>
      </c>
      <c r="N174">
        <v>151</v>
      </c>
      <c r="O174" t="s">
        <v>24</v>
      </c>
      <c r="P174" t="s">
        <v>25</v>
      </c>
    </row>
    <row r="175" spans="1:16" x14ac:dyDescent="0.25">
      <c r="A175" t="s">
        <v>863</v>
      </c>
      <c r="B175" t="s">
        <v>42</v>
      </c>
      <c r="C175" t="s">
        <v>43</v>
      </c>
      <c r="D175" t="s">
        <v>353</v>
      </c>
      <c r="E175" t="s">
        <v>864</v>
      </c>
      <c r="F175" t="s">
        <v>62</v>
      </c>
      <c r="G175" t="s">
        <v>865</v>
      </c>
      <c r="H175" t="s">
        <v>866</v>
      </c>
      <c r="I175">
        <v>3</v>
      </c>
      <c r="J175">
        <v>162</v>
      </c>
      <c r="K175">
        <v>1.25</v>
      </c>
      <c r="L175">
        <v>41</v>
      </c>
      <c r="M175">
        <v>10</v>
      </c>
      <c r="N175">
        <v>213</v>
      </c>
      <c r="O175" t="s">
        <v>24</v>
      </c>
      <c r="P175" t="s">
        <v>25</v>
      </c>
    </row>
    <row r="176" spans="1:16" x14ac:dyDescent="0.25">
      <c r="A176" t="s">
        <v>867</v>
      </c>
      <c r="B176" t="s">
        <v>49</v>
      </c>
      <c r="C176" t="s">
        <v>50</v>
      </c>
      <c r="D176" t="s">
        <v>359</v>
      </c>
      <c r="E176" t="s">
        <v>868</v>
      </c>
      <c r="F176" t="s">
        <v>21</v>
      </c>
      <c r="G176" t="s">
        <v>869</v>
      </c>
      <c r="H176" t="s">
        <v>870</v>
      </c>
      <c r="I176">
        <v>1</v>
      </c>
      <c r="J176">
        <v>40</v>
      </c>
      <c r="K176">
        <v>1</v>
      </c>
      <c r="L176">
        <v>0</v>
      </c>
      <c r="M176">
        <v>10</v>
      </c>
      <c r="N176">
        <v>50</v>
      </c>
      <c r="O176" t="s">
        <v>24</v>
      </c>
      <c r="P176" t="s">
        <v>25</v>
      </c>
    </row>
    <row r="177" spans="1:16" x14ac:dyDescent="0.25">
      <c r="A177" t="s">
        <v>871</v>
      </c>
      <c r="B177" t="s">
        <v>59</v>
      </c>
      <c r="C177" t="s">
        <v>18</v>
      </c>
      <c r="D177" t="s">
        <v>365</v>
      </c>
      <c r="E177" t="s">
        <v>872</v>
      </c>
      <c r="F177" t="s">
        <v>21</v>
      </c>
      <c r="G177" t="s">
        <v>873</v>
      </c>
      <c r="H177" t="s">
        <v>520</v>
      </c>
      <c r="I177">
        <v>1.5</v>
      </c>
      <c r="J177">
        <v>75</v>
      </c>
      <c r="K177">
        <v>1.25</v>
      </c>
      <c r="L177">
        <v>19</v>
      </c>
      <c r="M177">
        <v>10</v>
      </c>
      <c r="N177">
        <v>104</v>
      </c>
      <c r="O177" t="s">
        <v>56</v>
      </c>
      <c r="P177" t="s">
        <v>57</v>
      </c>
    </row>
    <row r="178" spans="1:16" x14ac:dyDescent="0.25">
      <c r="A178" t="s">
        <v>874</v>
      </c>
      <c r="B178" t="s">
        <v>67</v>
      </c>
      <c r="C178" t="s">
        <v>28</v>
      </c>
      <c r="D178" t="s">
        <v>371</v>
      </c>
      <c r="E178" t="s">
        <v>875</v>
      </c>
      <c r="F178" t="s">
        <v>21</v>
      </c>
      <c r="G178" t="s">
        <v>876</v>
      </c>
      <c r="H178" t="s">
        <v>877</v>
      </c>
      <c r="I178">
        <v>2</v>
      </c>
      <c r="J178">
        <v>120</v>
      </c>
      <c r="K178">
        <v>1.25</v>
      </c>
      <c r="L178">
        <v>30</v>
      </c>
      <c r="M178">
        <v>10</v>
      </c>
      <c r="N178">
        <v>160</v>
      </c>
      <c r="O178" t="s">
        <v>65</v>
      </c>
      <c r="P178" t="s">
        <v>25</v>
      </c>
    </row>
    <row r="179" spans="1:16" x14ac:dyDescent="0.25">
      <c r="A179" t="s">
        <v>878</v>
      </c>
      <c r="B179" t="s">
        <v>75</v>
      </c>
      <c r="C179" t="s">
        <v>35</v>
      </c>
      <c r="D179" t="s">
        <v>377</v>
      </c>
      <c r="E179" t="s">
        <v>879</v>
      </c>
      <c r="F179" t="s">
        <v>38</v>
      </c>
      <c r="G179" t="s">
        <v>880</v>
      </c>
      <c r="H179" t="s">
        <v>881</v>
      </c>
      <c r="I179">
        <v>2.5</v>
      </c>
      <c r="J179">
        <v>38</v>
      </c>
      <c r="K179">
        <v>1</v>
      </c>
      <c r="L179">
        <v>0</v>
      </c>
      <c r="M179">
        <v>10</v>
      </c>
      <c r="N179">
        <v>48</v>
      </c>
      <c r="O179" t="s">
        <v>72</v>
      </c>
      <c r="P179" t="s">
        <v>73</v>
      </c>
    </row>
    <row r="180" spans="1:16" x14ac:dyDescent="0.25">
      <c r="A180" t="s">
        <v>882</v>
      </c>
      <c r="B180" t="s">
        <v>82</v>
      </c>
      <c r="C180" t="s">
        <v>43</v>
      </c>
      <c r="D180" t="s">
        <v>383</v>
      </c>
      <c r="E180" t="s">
        <v>883</v>
      </c>
      <c r="F180" t="s">
        <v>38</v>
      </c>
      <c r="G180" t="s">
        <v>884</v>
      </c>
      <c r="H180" t="s">
        <v>885</v>
      </c>
      <c r="I180">
        <v>3</v>
      </c>
      <c r="J180">
        <v>30</v>
      </c>
      <c r="K180">
        <v>1</v>
      </c>
      <c r="L180">
        <v>0</v>
      </c>
      <c r="M180">
        <v>10</v>
      </c>
      <c r="N180">
        <v>40</v>
      </c>
      <c r="O180" t="s">
        <v>80</v>
      </c>
      <c r="P180" t="s">
        <v>25</v>
      </c>
    </row>
    <row r="181" spans="1:16" x14ac:dyDescent="0.25">
      <c r="A181" t="s">
        <v>886</v>
      </c>
      <c r="B181" t="s">
        <v>88</v>
      </c>
      <c r="C181" t="s">
        <v>50</v>
      </c>
      <c r="D181" t="s">
        <v>389</v>
      </c>
      <c r="E181" t="s">
        <v>887</v>
      </c>
      <c r="F181" t="s">
        <v>53</v>
      </c>
      <c r="G181" t="s">
        <v>888</v>
      </c>
      <c r="H181" t="s">
        <v>889</v>
      </c>
      <c r="I181">
        <v>1</v>
      </c>
      <c r="J181">
        <v>50</v>
      </c>
      <c r="K181">
        <v>1.25</v>
      </c>
      <c r="L181">
        <v>13</v>
      </c>
      <c r="M181">
        <v>10</v>
      </c>
      <c r="N181">
        <v>48</v>
      </c>
      <c r="O181" t="s">
        <v>24</v>
      </c>
      <c r="P181" t="s">
        <v>25</v>
      </c>
    </row>
    <row r="182" spans="1:16" x14ac:dyDescent="0.25">
      <c r="A182" t="s">
        <v>890</v>
      </c>
      <c r="B182" t="s">
        <v>94</v>
      </c>
      <c r="C182" t="s">
        <v>18</v>
      </c>
      <c r="D182" t="s">
        <v>19</v>
      </c>
      <c r="E182" t="s">
        <v>891</v>
      </c>
      <c r="F182" t="s">
        <v>62</v>
      </c>
      <c r="G182" t="s">
        <v>541</v>
      </c>
      <c r="H182" t="s">
        <v>892</v>
      </c>
      <c r="I182">
        <v>1.5</v>
      </c>
      <c r="J182">
        <v>135</v>
      </c>
      <c r="K182">
        <v>1.25</v>
      </c>
      <c r="L182">
        <v>34</v>
      </c>
      <c r="M182">
        <v>10</v>
      </c>
      <c r="N182">
        <v>179</v>
      </c>
      <c r="O182" t="s">
        <v>24</v>
      </c>
      <c r="P182" t="s">
        <v>25</v>
      </c>
    </row>
    <row r="183" spans="1:16" x14ac:dyDescent="0.25">
      <c r="A183" t="s">
        <v>893</v>
      </c>
      <c r="B183" t="s">
        <v>100</v>
      </c>
      <c r="C183" t="s">
        <v>28</v>
      </c>
      <c r="D183" t="s">
        <v>29</v>
      </c>
      <c r="E183" t="s">
        <v>894</v>
      </c>
      <c r="F183" t="s">
        <v>21</v>
      </c>
      <c r="G183" t="s">
        <v>895</v>
      </c>
      <c r="H183" t="s">
        <v>896</v>
      </c>
      <c r="I183">
        <v>2</v>
      </c>
      <c r="J183">
        <v>120</v>
      </c>
      <c r="K183">
        <v>1</v>
      </c>
      <c r="L183">
        <v>0</v>
      </c>
      <c r="M183">
        <v>10</v>
      </c>
      <c r="N183">
        <v>130</v>
      </c>
      <c r="O183" t="s">
        <v>24</v>
      </c>
      <c r="P183" t="s">
        <v>25</v>
      </c>
    </row>
    <row r="184" spans="1:16" x14ac:dyDescent="0.25">
      <c r="A184" t="s">
        <v>897</v>
      </c>
      <c r="B184" t="s">
        <v>106</v>
      </c>
      <c r="C184" t="s">
        <v>35</v>
      </c>
      <c r="D184" t="s">
        <v>36</v>
      </c>
      <c r="E184" t="s">
        <v>898</v>
      </c>
      <c r="F184" t="s">
        <v>21</v>
      </c>
      <c r="G184" t="s">
        <v>39</v>
      </c>
      <c r="H184" t="s">
        <v>40</v>
      </c>
      <c r="I184">
        <v>2.5</v>
      </c>
      <c r="J184">
        <v>88</v>
      </c>
      <c r="K184">
        <v>1.25</v>
      </c>
      <c r="L184">
        <v>22</v>
      </c>
      <c r="M184">
        <v>10</v>
      </c>
      <c r="N184">
        <v>120</v>
      </c>
      <c r="O184" t="s">
        <v>24</v>
      </c>
      <c r="P184" t="s">
        <v>25</v>
      </c>
    </row>
    <row r="185" spans="1:16" x14ac:dyDescent="0.25">
      <c r="A185" t="s">
        <v>899</v>
      </c>
      <c r="B185" t="s">
        <v>112</v>
      </c>
      <c r="C185" t="s">
        <v>43</v>
      </c>
      <c r="D185" t="s">
        <v>44</v>
      </c>
      <c r="E185" t="s">
        <v>900</v>
      </c>
      <c r="F185" t="s">
        <v>21</v>
      </c>
      <c r="G185" t="s">
        <v>46</v>
      </c>
      <c r="H185" t="s">
        <v>47</v>
      </c>
      <c r="I185">
        <v>3</v>
      </c>
      <c r="J185">
        <v>90</v>
      </c>
      <c r="K185">
        <v>1.25</v>
      </c>
      <c r="L185">
        <v>23</v>
      </c>
      <c r="M185">
        <v>10</v>
      </c>
      <c r="N185">
        <v>123</v>
      </c>
      <c r="O185" t="s">
        <v>24</v>
      </c>
      <c r="P185" t="s">
        <v>25</v>
      </c>
    </row>
    <row r="186" spans="1:16" x14ac:dyDescent="0.25">
      <c r="A186" t="s">
        <v>901</v>
      </c>
      <c r="B186" t="s">
        <v>118</v>
      </c>
      <c r="C186" t="s">
        <v>50</v>
      </c>
      <c r="D186" t="s">
        <v>51</v>
      </c>
      <c r="E186" t="s">
        <v>902</v>
      </c>
      <c r="F186" t="s">
        <v>38</v>
      </c>
      <c r="G186" t="s">
        <v>903</v>
      </c>
      <c r="H186" t="s">
        <v>904</v>
      </c>
      <c r="I186">
        <v>1</v>
      </c>
      <c r="J186">
        <v>20</v>
      </c>
      <c r="K186">
        <v>1.25</v>
      </c>
      <c r="L186">
        <v>5</v>
      </c>
      <c r="M186">
        <v>10</v>
      </c>
      <c r="N186">
        <v>35</v>
      </c>
      <c r="O186" t="s">
        <v>56</v>
      </c>
      <c r="P186" t="s">
        <v>57</v>
      </c>
    </row>
    <row r="187" spans="1:16" x14ac:dyDescent="0.25">
      <c r="A187" t="s">
        <v>905</v>
      </c>
      <c r="B187" t="s">
        <v>124</v>
      </c>
      <c r="C187" t="s">
        <v>18</v>
      </c>
      <c r="D187" t="s">
        <v>60</v>
      </c>
      <c r="E187" t="s">
        <v>906</v>
      </c>
      <c r="F187" t="s">
        <v>38</v>
      </c>
      <c r="G187" t="s">
        <v>63</v>
      </c>
      <c r="H187" t="s">
        <v>64</v>
      </c>
      <c r="I187">
        <v>1.5</v>
      </c>
      <c r="J187">
        <v>38</v>
      </c>
      <c r="K187">
        <v>1.25</v>
      </c>
      <c r="L187">
        <v>10</v>
      </c>
      <c r="M187">
        <v>10</v>
      </c>
      <c r="N187">
        <v>58</v>
      </c>
      <c r="O187" t="s">
        <v>65</v>
      </c>
      <c r="P187" t="s">
        <v>25</v>
      </c>
    </row>
    <row r="188" spans="1:16" x14ac:dyDescent="0.25">
      <c r="A188" t="s">
        <v>907</v>
      </c>
      <c r="B188" t="s">
        <v>130</v>
      </c>
      <c r="C188" t="s">
        <v>28</v>
      </c>
      <c r="D188" t="s">
        <v>68</v>
      </c>
      <c r="E188" t="s">
        <v>908</v>
      </c>
      <c r="F188" t="s">
        <v>53</v>
      </c>
      <c r="G188" t="s">
        <v>909</v>
      </c>
      <c r="H188" t="s">
        <v>910</v>
      </c>
      <c r="I188">
        <v>2</v>
      </c>
      <c r="J188">
        <v>140</v>
      </c>
      <c r="K188">
        <v>1.25</v>
      </c>
      <c r="L188">
        <v>35</v>
      </c>
      <c r="M188">
        <v>10</v>
      </c>
      <c r="N188">
        <v>185</v>
      </c>
      <c r="O188" t="s">
        <v>72</v>
      </c>
      <c r="P188" t="s">
        <v>73</v>
      </c>
    </row>
    <row r="189" spans="1:16" x14ac:dyDescent="0.25">
      <c r="A189" t="s">
        <v>911</v>
      </c>
      <c r="B189" t="s">
        <v>136</v>
      </c>
      <c r="C189" t="s">
        <v>35</v>
      </c>
      <c r="D189" t="s">
        <v>76</v>
      </c>
      <c r="E189" t="s">
        <v>912</v>
      </c>
      <c r="F189" t="s">
        <v>62</v>
      </c>
      <c r="G189" t="s">
        <v>78</v>
      </c>
      <c r="H189" t="s">
        <v>79</v>
      </c>
      <c r="I189">
        <v>2.5</v>
      </c>
      <c r="J189">
        <v>158</v>
      </c>
      <c r="K189">
        <v>1.25</v>
      </c>
      <c r="L189">
        <v>40</v>
      </c>
      <c r="M189">
        <v>10</v>
      </c>
      <c r="N189">
        <v>208</v>
      </c>
      <c r="O189" t="s">
        <v>80</v>
      </c>
      <c r="P189" t="s">
        <v>25</v>
      </c>
    </row>
    <row r="190" spans="1:16" x14ac:dyDescent="0.25">
      <c r="A190" t="s">
        <v>913</v>
      </c>
      <c r="B190" t="s">
        <v>142</v>
      </c>
      <c r="C190" t="s">
        <v>43</v>
      </c>
      <c r="D190" t="s">
        <v>83</v>
      </c>
      <c r="E190" t="s">
        <v>914</v>
      </c>
      <c r="F190" t="s">
        <v>21</v>
      </c>
      <c r="G190" t="s">
        <v>85</v>
      </c>
      <c r="H190" t="s">
        <v>86</v>
      </c>
      <c r="I190">
        <v>3</v>
      </c>
      <c r="J190">
        <v>90</v>
      </c>
      <c r="K190">
        <v>1.25</v>
      </c>
      <c r="L190">
        <v>23</v>
      </c>
      <c r="M190">
        <v>10</v>
      </c>
      <c r="N190">
        <v>123</v>
      </c>
      <c r="O190" t="s">
        <v>24</v>
      </c>
      <c r="P190" t="s">
        <v>25</v>
      </c>
    </row>
    <row r="191" spans="1:16" x14ac:dyDescent="0.25">
      <c r="A191" t="s">
        <v>915</v>
      </c>
      <c r="B191" t="s">
        <v>148</v>
      </c>
      <c r="C191" t="s">
        <v>50</v>
      </c>
      <c r="D191" t="s">
        <v>89</v>
      </c>
      <c r="E191" t="s">
        <v>916</v>
      </c>
      <c r="F191" t="s">
        <v>21</v>
      </c>
      <c r="G191" t="s">
        <v>917</v>
      </c>
      <c r="H191" t="s">
        <v>918</v>
      </c>
      <c r="I191">
        <v>1</v>
      </c>
      <c r="J191">
        <v>40</v>
      </c>
      <c r="K191">
        <v>1.25</v>
      </c>
      <c r="L191">
        <v>10</v>
      </c>
      <c r="M191">
        <v>10</v>
      </c>
      <c r="N191">
        <v>60</v>
      </c>
      <c r="O191" t="s">
        <v>24</v>
      </c>
      <c r="P191" t="s">
        <v>25</v>
      </c>
    </row>
    <row r="192" spans="1:16" x14ac:dyDescent="0.25">
      <c r="A192" t="s">
        <v>919</v>
      </c>
      <c r="B192" t="s">
        <v>154</v>
      </c>
      <c r="C192" t="s">
        <v>18</v>
      </c>
      <c r="D192" t="s">
        <v>95</v>
      </c>
      <c r="E192" t="s">
        <v>920</v>
      </c>
      <c r="F192" t="s">
        <v>21</v>
      </c>
      <c r="G192" t="s">
        <v>581</v>
      </c>
      <c r="H192" t="s">
        <v>921</v>
      </c>
      <c r="I192">
        <v>1.5</v>
      </c>
      <c r="J192">
        <v>75</v>
      </c>
      <c r="K192">
        <v>1.25</v>
      </c>
      <c r="L192">
        <v>19</v>
      </c>
      <c r="M192">
        <v>10</v>
      </c>
      <c r="N192">
        <v>104</v>
      </c>
      <c r="O192" t="s">
        <v>24</v>
      </c>
      <c r="P192" t="s">
        <v>25</v>
      </c>
    </row>
    <row r="193" spans="1:16" x14ac:dyDescent="0.25">
      <c r="A193" t="s">
        <v>922</v>
      </c>
      <c r="B193" t="s">
        <v>160</v>
      </c>
      <c r="C193" t="s">
        <v>28</v>
      </c>
      <c r="D193" t="s">
        <v>101</v>
      </c>
      <c r="E193" t="s">
        <v>923</v>
      </c>
      <c r="F193" t="s">
        <v>38</v>
      </c>
      <c r="G193" t="s">
        <v>103</v>
      </c>
      <c r="H193" t="s">
        <v>104</v>
      </c>
      <c r="I193">
        <v>2</v>
      </c>
      <c r="J193">
        <v>60</v>
      </c>
      <c r="K193">
        <v>1.25</v>
      </c>
      <c r="L193">
        <v>15</v>
      </c>
      <c r="M193">
        <v>10</v>
      </c>
      <c r="N193">
        <v>85</v>
      </c>
      <c r="O193" t="s">
        <v>24</v>
      </c>
      <c r="P193" t="s">
        <v>25</v>
      </c>
    </row>
    <row r="194" spans="1:16" x14ac:dyDescent="0.25">
      <c r="A194" t="s">
        <v>924</v>
      </c>
      <c r="B194" t="s">
        <v>166</v>
      </c>
      <c r="C194" t="s">
        <v>35</v>
      </c>
      <c r="D194" t="s">
        <v>107</v>
      </c>
      <c r="E194" t="s">
        <v>925</v>
      </c>
      <c r="F194" t="s">
        <v>38</v>
      </c>
      <c r="G194" t="s">
        <v>926</v>
      </c>
      <c r="H194" t="s">
        <v>927</v>
      </c>
      <c r="I194">
        <v>2.5</v>
      </c>
      <c r="J194">
        <v>38</v>
      </c>
      <c r="K194">
        <v>1</v>
      </c>
      <c r="L194">
        <v>0</v>
      </c>
      <c r="M194">
        <v>10</v>
      </c>
      <c r="N194">
        <v>48</v>
      </c>
      <c r="O194" t="s">
        <v>24</v>
      </c>
      <c r="P194" t="s">
        <v>25</v>
      </c>
    </row>
    <row r="195" spans="1:16" x14ac:dyDescent="0.25">
      <c r="A195" t="s">
        <v>928</v>
      </c>
      <c r="B195" t="s">
        <v>172</v>
      </c>
      <c r="C195" t="s">
        <v>43</v>
      </c>
      <c r="D195" t="s">
        <v>113</v>
      </c>
      <c r="E195" t="s">
        <v>929</v>
      </c>
      <c r="F195" t="s">
        <v>53</v>
      </c>
      <c r="G195" t="s">
        <v>930</v>
      </c>
      <c r="H195" t="s">
        <v>931</v>
      </c>
      <c r="I195">
        <v>3</v>
      </c>
      <c r="J195">
        <v>120</v>
      </c>
      <c r="K195">
        <v>1</v>
      </c>
      <c r="L195">
        <v>0</v>
      </c>
      <c r="M195">
        <v>10</v>
      </c>
      <c r="N195">
        <v>130</v>
      </c>
      <c r="O195" t="s">
        <v>56</v>
      </c>
      <c r="P195" t="s">
        <v>57</v>
      </c>
    </row>
    <row r="196" spans="1:16" x14ac:dyDescent="0.25">
      <c r="A196" t="s">
        <v>932</v>
      </c>
      <c r="B196" t="s">
        <v>178</v>
      </c>
      <c r="C196" t="s">
        <v>50</v>
      </c>
      <c r="D196" t="s">
        <v>119</v>
      </c>
      <c r="E196" t="s">
        <v>933</v>
      </c>
      <c r="F196" t="s">
        <v>62</v>
      </c>
      <c r="G196" t="s">
        <v>121</v>
      </c>
      <c r="H196" t="s">
        <v>122</v>
      </c>
      <c r="I196">
        <v>1</v>
      </c>
      <c r="J196">
        <v>72</v>
      </c>
      <c r="K196">
        <v>1.25</v>
      </c>
      <c r="L196">
        <v>18</v>
      </c>
      <c r="M196">
        <v>10</v>
      </c>
      <c r="N196">
        <v>75</v>
      </c>
      <c r="O196" t="s">
        <v>65</v>
      </c>
      <c r="P196" t="s">
        <v>25</v>
      </c>
    </row>
    <row r="197" spans="1:16" x14ac:dyDescent="0.25">
      <c r="A197" t="s">
        <v>934</v>
      </c>
      <c r="B197" t="s">
        <v>184</v>
      </c>
      <c r="C197" t="s">
        <v>18</v>
      </c>
      <c r="D197" t="s">
        <v>125</v>
      </c>
      <c r="E197" t="s">
        <v>935</v>
      </c>
      <c r="F197" t="s">
        <v>21</v>
      </c>
      <c r="G197" t="s">
        <v>127</v>
      </c>
      <c r="H197" t="s">
        <v>128</v>
      </c>
      <c r="I197">
        <v>1.5</v>
      </c>
      <c r="J197">
        <v>75</v>
      </c>
      <c r="K197">
        <v>1.25</v>
      </c>
      <c r="L197">
        <v>19</v>
      </c>
      <c r="M197">
        <v>10</v>
      </c>
      <c r="N197">
        <v>104</v>
      </c>
      <c r="O197" t="s">
        <v>72</v>
      </c>
      <c r="P197" t="s">
        <v>73</v>
      </c>
    </row>
    <row r="198" spans="1:16" x14ac:dyDescent="0.25">
      <c r="A198" t="s">
        <v>936</v>
      </c>
      <c r="B198" t="s">
        <v>190</v>
      </c>
      <c r="C198" t="s">
        <v>28</v>
      </c>
      <c r="D198" t="s">
        <v>131</v>
      </c>
      <c r="E198" t="s">
        <v>937</v>
      </c>
      <c r="F198" t="s">
        <v>21</v>
      </c>
      <c r="G198" t="s">
        <v>938</v>
      </c>
      <c r="H198" t="s">
        <v>939</v>
      </c>
      <c r="I198">
        <v>2</v>
      </c>
      <c r="J198">
        <v>120</v>
      </c>
      <c r="K198">
        <v>1</v>
      </c>
      <c r="L198">
        <v>0</v>
      </c>
      <c r="M198">
        <v>10</v>
      </c>
      <c r="N198">
        <v>130</v>
      </c>
      <c r="O198" t="s">
        <v>80</v>
      </c>
      <c r="P198" t="s">
        <v>25</v>
      </c>
    </row>
    <row r="199" spans="1:16" x14ac:dyDescent="0.25">
      <c r="A199" t="s">
        <v>940</v>
      </c>
      <c r="B199" t="s">
        <v>196</v>
      </c>
      <c r="C199" t="s">
        <v>35</v>
      </c>
      <c r="D199" t="s">
        <v>137</v>
      </c>
      <c r="E199" t="s">
        <v>941</v>
      </c>
      <c r="F199" t="s">
        <v>21</v>
      </c>
      <c r="G199" t="s">
        <v>139</v>
      </c>
      <c r="H199" t="s">
        <v>140</v>
      </c>
      <c r="I199">
        <v>2.5</v>
      </c>
      <c r="J199">
        <v>88</v>
      </c>
      <c r="K199">
        <v>1.25</v>
      </c>
      <c r="L199">
        <v>22</v>
      </c>
      <c r="M199">
        <v>10</v>
      </c>
      <c r="N199">
        <v>120</v>
      </c>
      <c r="O199" t="s">
        <v>24</v>
      </c>
      <c r="P199" t="s">
        <v>25</v>
      </c>
    </row>
    <row r="200" spans="1:16" x14ac:dyDescent="0.25">
      <c r="A200" t="s">
        <v>942</v>
      </c>
      <c r="B200" t="s">
        <v>202</v>
      </c>
      <c r="C200" t="s">
        <v>43</v>
      </c>
      <c r="D200" t="s">
        <v>143</v>
      </c>
      <c r="E200" t="s">
        <v>943</v>
      </c>
      <c r="F200" t="s">
        <v>38</v>
      </c>
      <c r="G200" t="s">
        <v>944</v>
      </c>
      <c r="H200" t="s">
        <v>945</v>
      </c>
      <c r="I200">
        <v>3</v>
      </c>
      <c r="J200">
        <v>30</v>
      </c>
      <c r="K200">
        <v>1.25</v>
      </c>
      <c r="L200">
        <v>8</v>
      </c>
      <c r="M200">
        <v>10</v>
      </c>
      <c r="N200">
        <v>48</v>
      </c>
      <c r="O200" t="s">
        <v>24</v>
      </c>
      <c r="P200" t="s">
        <v>25</v>
      </c>
    </row>
    <row r="201" spans="1:16" x14ac:dyDescent="0.25">
      <c r="A201" t="s">
        <v>946</v>
      </c>
      <c r="B201" t="s">
        <v>208</v>
      </c>
      <c r="C201" t="s">
        <v>50</v>
      </c>
      <c r="D201" t="s">
        <v>149</v>
      </c>
      <c r="E201" t="s">
        <v>947</v>
      </c>
      <c r="F201" t="s">
        <v>38</v>
      </c>
      <c r="G201" t="s">
        <v>151</v>
      </c>
      <c r="H201" t="s">
        <v>152</v>
      </c>
      <c r="I201">
        <v>1</v>
      </c>
      <c r="J201">
        <v>20</v>
      </c>
      <c r="K201">
        <v>1.25</v>
      </c>
      <c r="L201">
        <v>5</v>
      </c>
      <c r="M201">
        <v>10</v>
      </c>
      <c r="N201">
        <v>10</v>
      </c>
      <c r="O201" t="s">
        <v>24</v>
      </c>
      <c r="P201" t="s">
        <v>25</v>
      </c>
    </row>
    <row r="202" spans="1:16" x14ac:dyDescent="0.25">
      <c r="A202" t="s">
        <v>948</v>
      </c>
      <c r="B202" t="s">
        <v>214</v>
      </c>
      <c r="C202" t="s">
        <v>18</v>
      </c>
      <c r="D202" t="s">
        <v>155</v>
      </c>
      <c r="E202" t="s">
        <v>949</v>
      </c>
      <c r="F202" t="s">
        <v>53</v>
      </c>
      <c r="G202" t="s">
        <v>157</v>
      </c>
      <c r="H202" t="s">
        <v>158</v>
      </c>
      <c r="I202">
        <v>1.5</v>
      </c>
      <c r="J202">
        <v>90</v>
      </c>
      <c r="K202">
        <v>1.25</v>
      </c>
      <c r="L202">
        <v>23</v>
      </c>
      <c r="M202">
        <v>10</v>
      </c>
      <c r="N202">
        <v>123</v>
      </c>
      <c r="O202" t="s">
        <v>24</v>
      </c>
      <c r="P202" t="s">
        <v>25</v>
      </c>
    </row>
    <row r="203" spans="1:16" x14ac:dyDescent="0.25">
      <c r="A203" t="s">
        <v>950</v>
      </c>
      <c r="B203" t="s">
        <v>220</v>
      </c>
      <c r="C203" t="s">
        <v>28</v>
      </c>
      <c r="D203" t="s">
        <v>161</v>
      </c>
      <c r="E203" t="s">
        <v>951</v>
      </c>
      <c r="F203" t="s">
        <v>62</v>
      </c>
      <c r="G203" t="s">
        <v>952</v>
      </c>
      <c r="H203" t="s">
        <v>953</v>
      </c>
      <c r="I203">
        <v>2</v>
      </c>
      <c r="J203">
        <v>216</v>
      </c>
      <c r="K203">
        <v>1.25</v>
      </c>
      <c r="L203">
        <v>54</v>
      </c>
      <c r="M203">
        <v>10</v>
      </c>
      <c r="N203">
        <v>280</v>
      </c>
      <c r="O203" t="s">
        <v>24</v>
      </c>
      <c r="P203" t="s">
        <v>25</v>
      </c>
    </row>
    <row r="204" spans="1:16" x14ac:dyDescent="0.25">
      <c r="A204" t="s">
        <v>954</v>
      </c>
      <c r="B204" t="s">
        <v>226</v>
      </c>
      <c r="C204" t="s">
        <v>35</v>
      </c>
      <c r="D204" t="s">
        <v>167</v>
      </c>
      <c r="E204" t="s">
        <v>955</v>
      </c>
      <c r="F204" t="s">
        <v>21</v>
      </c>
      <c r="G204" t="s">
        <v>956</v>
      </c>
      <c r="H204" t="s">
        <v>957</v>
      </c>
      <c r="I204">
        <v>2.5</v>
      </c>
      <c r="J204">
        <v>88</v>
      </c>
      <c r="K204">
        <v>1</v>
      </c>
      <c r="L204">
        <v>0</v>
      </c>
      <c r="M204">
        <v>10</v>
      </c>
      <c r="N204">
        <v>98</v>
      </c>
      <c r="O204" t="s">
        <v>56</v>
      </c>
      <c r="P204" t="s">
        <v>57</v>
      </c>
    </row>
    <row r="205" spans="1:16" x14ac:dyDescent="0.25">
      <c r="A205" t="s">
        <v>958</v>
      </c>
      <c r="B205" t="s">
        <v>232</v>
      </c>
      <c r="C205" t="s">
        <v>43</v>
      </c>
      <c r="D205" t="s">
        <v>173</v>
      </c>
      <c r="E205" t="s">
        <v>959</v>
      </c>
      <c r="F205" t="s">
        <v>21</v>
      </c>
      <c r="G205" t="s">
        <v>175</v>
      </c>
      <c r="H205" t="s">
        <v>176</v>
      </c>
      <c r="I205">
        <v>3</v>
      </c>
      <c r="J205">
        <v>90</v>
      </c>
      <c r="K205">
        <v>1.25</v>
      </c>
      <c r="L205">
        <v>23</v>
      </c>
      <c r="M205">
        <v>10</v>
      </c>
      <c r="N205">
        <v>123</v>
      </c>
      <c r="O205" t="s">
        <v>65</v>
      </c>
      <c r="P205" t="s">
        <v>25</v>
      </c>
    </row>
    <row r="206" spans="1:16" x14ac:dyDescent="0.25">
      <c r="A206" t="s">
        <v>960</v>
      </c>
      <c r="B206" t="s">
        <v>238</v>
      </c>
      <c r="C206" t="s">
        <v>50</v>
      </c>
      <c r="D206" t="s">
        <v>179</v>
      </c>
      <c r="E206" t="s">
        <v>961</v>
      </c>
      <c r="F206" t="s">
        <v>21</v>
      </c>
      <c r="G206" t="s">
        <v>962</v>
      </c>
      <c r="H206" t="s">
        <v>963</v>
      </c>
      <c r="I206">
        <v>1</v>
      </c>
      <c r="J206">
        <v>40</v>
      </c>
      <c r="K206">
        <v>1.25</v>
      </c>
      <c r="L206">
        <v>10</v>
      </c>
      <c r="M206">
        <v>10</v>
      </c>
      <c r="N206">
        <v>60</v>
      </c>
      <c r="O206" t="s">
        <v>72</v>
      </c>
      <c r="P206" t="s">
        <v>73</v>
      </c>
    </row>
    <row r="207" spans="1:16" x14ac:dyDescent="0.25">
      <c r="A207" t="s">
        <v>964</v>
      </c>
      <c r="B207" t="s">
        <v>244</v>
      </c>
      <c r="C207" t="s">
        <v>18</v>
      </c>
      <c r="D207" t="s">
        <v>185</v>
      </c>
      <c r="E207" t="s">
        <v>965</v>
      </c>
      <c r="F207" t="s">
        <v>38</v>
      </c>
      <c r="G207" t="s">
        <v>966</v>
      </c>
      <c r="H207" t="s">
        <v>967</v>
      </c>
      <c r="I207">
        <v>1.5</v>
      </c>
      <c r="J207">
        <v>38</v>
      </c>
      <c r="K207">
        <v>1</v>
      </c>
      <c r="L207">
        <v>0</v>
      </c>
      <c r="M207">
        <v>10</v>
      </c>
      <c r="N207">
        <v>48</v>
      </c>
      <c r="O207" t="s">
        <v>80</v>
      </c>
      <c r="P207" t="s">
        <v>25</v>
      </c>
    </row>
    <row r="208" spans="1:16" x14ac:dyDescent="0.25">
      <c r="A208" t="s">
        <v>968</v>
      </c>
      <c r="B208" t="s">
        <v>250</v>
      </c>
      <c r="C208" t="s">
        <v>28</v>
      </c>
      <c r="D208" t="s">
        <v>191</v>
      </c>
      <c r="E208" t="s">
        <v>969</v>
      </c>
      <c r="F208" t="s">
        <v>38</v>
      </c>
      <c r="G208" t="s">
        <v>193</v>
      </c>
      <c r="H208" t="s">
        <v>194</v>
      </c>
      <c r="I208">
        <v>2</v>
      </c>
      <c r="J208">
        <v>60</v>
      </c>
      <c r="K208">
        <v>1.25</v>
      </c>
      <c r="L208">
        <v>15</v>
      </c>
      <c r="M208">
        <v>10</v>
      </c>
      <c r="N208">
        <v>85</v>
      </c>
      <c r="O208" t="s">
        <v>24</v>
      </c>
      <c r="P208" t="s">
        <v>25</v>
      </c>
    </row>
    <row r="209" spans="1:16" x14ac:dyDescent="0.25">
      <c r="A209" t="s">
        <v>970</v>
      </c>
      <c r="B209" t="s">
        <v>256</v>
      </c>
      <c r="C209" t="s">
        <v>35</v>
      </c>
      <c r="D209" t="s">
        <v>197</v>
      </c>
      <c r="E209" t="s">
        <v>971</v>
      </c>
      <c r="F209" t="s">
        <v>53</v>
      </c>
      <c r="G209" t="s">
        <v>199</v>
      </c>
      <c r="H209" t="s">
        <v>200</v>
      </c>
      <c r="I209">
        <v>2.5</v>
      </c>
      <c r="J209">
        <v>113</v>
      </c>
      <c r="K209">
        <v>1.25</v>
      </c>
      <c r="L209">
        <v>28</v>
      </c>
      <c r="M209">
        <v>10</v>
      </c>
      <c r="N209">
        <v>151</v>
      </c>
      <c r="O209" t="s">
        <v>24</v>
      </c>
      <c r="P209" t="s">
        <v>25</v>
      </c>
    </row>
    <row r="210" spans="1:16" x14ac:dyDescent="0.25">
      <c r="A210" t="s">
        <v>972</v>
      </c>
      <c r="B210" t="s">
        <v>262</v>
      </c>
      <c r="C210" t="s">
        <v>43</v>
      </c>
      <c r="D210" t="s">
        <v>203</v>
      </c>
      <c r="E210" t="s">
        <v>973</v>
      </c>
      <c r="F210" t="s">
        <v>62</v>
      </c>
      <c r="G210" t="s">
        <v>974</v>
      </c>
      <c r="H210" t="s">
        <v>975</v>
      </c>
      <c r="I210">
        <v>3</v>
      </c>
      <c r="J210">
        <v>162</v>
      </c>
      <c r="K210">
        <v>1.25</v>
      </c>
      <c r="L210">
        <v>41</v>
      </c>
      <c r="M210">
        <v>10</v>
      </c>
      <c r="N210">
        <v>213</v>
      </c>
      <c r="O210" t="s">
        <v>24</v>
      </c>
      <c r="P210" t="s">
        <v>25</v>
      </c>
    </row>
    <row r="211" spans="1:16" x14ac:dyDescent="0.25">
      <c r="A211" t="s">
        <v>976</v>
      </c>
      <c r="B211" t="s">
        <v>268</v>
      </c>
      <c r="C211" t="s">
        <v>50</v>
      </c>
      <c r="D211" t="s">
        <v>209</v>
      </c>
      <c r="E211" t="s">
        <v>977</v>
      </c>
      <c r="F211" t="s">
        <v>21</v>
      </c>
      <c r="G211" t="s">
        <v>211</v>
      </c>
      <c r="H211" t="s">
        <v>978</v>
      </c>
      <c r="I211">
        <v>36</v>
      </c>
      <c r="J211">
        <v>1440</v>
      </c>
      <c r="K211">
        <v>1.25</v>
      </c>
      <c r="L211">
        <v>360</v>
      </c>
      <c r="M211">
        <v>10</v>
      </c>
      <c r="N211">
        <v>1785</v>
      </c>
      <c r="O211" t="s">
        <v>24</v>
      </c>
      <c r="P211" t="s">
        <v>25</v>
      </c>
    </row>
    <row r="212" spans="1:16" x14ac:dyDescent="0.25">
      <c r="A212" t="s">
        <v>979</v>
      </c>
      <c r="B212" t="s">
        <v>274</v>
      </c>
      <c r="C212" t="s">
        <v>18</v>
      </c>
      <c r="D212" t="s">
        <v>215</v>
      </c>
      <c r="E212" t="s">
        <v>980</v>
      </c>
      <c r="F212" t="s">
        <v>21</v>
      </c>
      <c r="G212" t="s">
        <v>981</v>
      </c>
      <c r="H212" t="s">
        <v>982</v>
      </c>
      <c r="I212">
        <v>1.5</v>
      </c>
      <c r="J212">
        <v>75</v>
      </c>
      <c r="K212">
        <v>1</v>
      </c>
      <c r="L212">
        <v>0</v>
      </c>
      <c r="M212">
        <v>10</v>
      </c>
      <c r="N212">
        <v>85</v>
      </c>
      <c r="O212" t="s">
        <v>24</v>
      </c>
      <c r="P212" t="s">
        <v>25</v>
      </c>
    </row>
    <row r="213" spans="1:16" x14ac:dyDescent="0.25">
      <c r="A213" t="s">
        <v>983</v>
      </c>
      <c r="B213" t="s">
        <v>280</v>
      </c>
      <c r="C213" t="s">
        <v>28</v>
      </c>
      <c r="D213" t="s">
        <v>221</v>
      </c>
      <c r="E213" t="s">
        <v>984</v>
      </c>
      <c r="F213" t="s">
        <v>21</v>
      </c>
      <c r="G213" t="s">
        <v>223</v>
      </c>
      <c r="H213" t="s">
        <v>224</v>
      </c>
      <c r="I213">
        <v>2</v>
      </c>
      <c r="J213">
        <v>120</v>
      </c>
      <c r="K213">
        <v>1.25</v>
      </c>
      <c r="L213">
        <v>30</v>
      </c>
      <c r="M213">
        <v>10</v>
      </c>
      <c r="N213">
        <v>160</v>
      </c>
      <c r="O213" t="s">
        <v>56</v>
      </c>
      <c r="P213" t="s">
        <v>57</v>
      </c>
    </row>
    <row r="214" spans="1:16" x14ac:dyDescent="0.25">
      <c r="A214" t="s">
        <v>985</v>
      </c>
      <c r="B214" t="s">
        <v>286</v>
      </c>
      <c r="C214" t="s">
        <v>35</v>
      </c>
      <c r="D214" t="s">
        <v>227</v>
      </c>
      <c r="E214" t="s">
        <v>986</v>
      </c>
      <c r="F214" t="s">
        <v>38</v>
      </c>
      <c r="G214" t="s">
        <v>229</v>
      </c>
      <c r="H214" t="s">
        <v>230</v>
      </c>
      <c r="I214">
        <v>2.5</v>
      </c>
      <c r="J214">
        <v>38</v>
      </c>
      <c r="K214">
        <v>1.25</v>
      </c>
      <c r="L214">
        <v>10</v>
      </c>
      <c r="M214">
        <v>10</v>
      </c>
      <c r="N214">
        <v>58</v>
      </c>
      <c r="O214" t="s">
        <v>65</v>
      </c>
      <c r="P214" t="s">
        <v>25</v>
      </c>
    </row>
    <row r="215" spans="1:16" x14ac:dyDescent="0.25">
      <c r="A215" t="s">
        <v>987</v>
      </c>
      <c r="B215" t="s">
        <v>292</v>
      </c>
      <c r="C215" t="s">
        <v>43</v>
      </c>
      <c r="D215" t="s">
        <v>233</v>
      </c>
      <c r="E215" t="s">
        <v>988</v>
      </c>
      <c r="F215" t="s">
        <v>38</v>
      </c>
      <c r="G215" t="s">
        <v>989</v>
      </c>
      <c r="H215" t="s">
        <v>990</v>
      </c>
      <c r="I215">
        <v>3</v>
      </c>
      <c r="J215">
        <v>30</v>
      </c>
      <c r="K215">
        <v>1</v>
      </c>
      <c r="L215">
        <v>0</v>
      </c>
      <c r="M215">
        <v>10</v>
      </c>
      <c r="N215">
        <v>40</v>
      </c>
      <c r="O215" t="s">
        <v>72</v>
      </c>
      <c r="P215" t="s">
        <v>73</v>
      </c>
    </row>
    <row r="216" spans="1:16" x14ac:dyDescent="0.25">
      <c r="A216" t="s">
        <v>991</v>
      </c>
      <c r="B216" t="s">
        <v>298</v>
      </c>
      <c r="C216" t="s">
        <v>50</v>
      </c>
      <c r="D216" t="s">
        <v>239</v>
      </c>
      <c r="E216" t="s">
        <v>992</v>
      </c>
      <c r="F216" t="s">
        <v>53</v>
      </c>
      <c r="G216" t="s">
        <v>993</v>
      </c>
      <c r="H216" t="s">
        <v>994</v>
      </c>
      <c r="I216">
        <v>1</v>
      </c>
      <c r="J216">
        <v>50</v>
      </c>
      <c r="K216">
        <v>1.25</v>
      </c>
      <c r="L216">
        <v>13</v>
      </c>
      <c r="M216">
        <v>10</v>
      </c>
      <c r="N216">
        <v>73</v>
      </c>
      <c r="O216" t="s">
        <v>80</v>
      </c>
      <c r="P216" t="s">
        <v>25</v>
      </c>
    </row>
    <row r="217" spans="1:16" x14ac:dyDescent="0.25">
      <c r="A217" t="s">
        <v>995</v>
      </c>
      <c r="B217" t="s">
        <v>304</v>
      </c>
      <c r="C217" t="s">
        <v>18</v>
      </c>
      <c r="D217" t="s">
        <v>245</v>
      </c>
      <c r="E217" t="s">
        <v>996</v>
      </c>
      <c r="F217" t="s">
        <v>62</v>
      </c>
      <c r="G217" t="s">
        <v>247</v>
      </c>
      <c r="H217" t="s">
        <v>248</v>
      </c>
      <c r="I217">
        <v>1.5</v>
      </c>
      <c r="J217">
        <v>135</v>
      </c>
      <c r="K217">
        <v>1.25</v>
      </c>
      <c r="L217">
        <v>34</v>
      </c>
      <c r="M217">
        <v>10</v>
      </c>
      <c r="N217">
        <v>179</v>
      </c>
      <c r="O217" t="s">
        <v>24</v>
      </c>
      <c r="P217" t="s">
        <v>25</v>
      </c>
    </row>
    <row r="218" spans="1:16" x14ac:dyDescent="0.25">
      <c r="A218" t="s">
        <v>997</v>
      </c>
      <c r="B218" t="s">
        <v>310</v>
      </c>
      <c r="C218" t="s">
        <v>28</v>
      </c>
      <c r="D218" t="s">
        <v>251</v>
      </c>
      <c r="E218" t="s">
        <v>998</v>
      </c>
      <c r="F218" t="s">
        <v>21</v>
      </c>
      <c r="G218" t="s">
        <v>999</v>
      </c>
      <c r="H218" t="s">
        <v>1000</v>
      </c>
      <c r="I218">
        <v>2</v>
      </c>
      <c r="J218">
        <v>120</v>
      </c>
      <c r="K218">
        <v>1</v>
      </c>
      <c r="L218">
        <v>0</v>
      </c>
      <c r="M218">
        <v>10</v>
      </c>
      <c r="N218">
        <v>130</v>
      </c>
      <c r="O218" t="s">
        <v>24</v>
      </c>
      <c r="P218" t="s">
        <v>25</v>
      </c>
    </row>
    <row r="219" spans="1:16" x14ac:dyDescent="0.25">
      <c r="A219" t="s">
        <v>1001</v>
      </c>
      <c r="B219" t="s">
        <v>316</v>
      </c>
      <c r="C219" t="s">
        <v>35</v>
      </c>
      <c r="D219" t="s">
        <v>257</v>
      </c>
      <c r="E219" t="s">
        <v>1002</v>
      </c>
      <c r="F219" t="s">
        <v>21</v>
      </c>
      <c r="G219" t="s">
        <v>1003</v>
      </c>
      <c r="H219" t="s">
        <v>1004</v>
      </c>
      <c r="I219">
        <v>2.5</v>
      </c>
      <c r="J219">
        <v>88</v>
      </c>
      <c r="K219">
        <v>1.25</v>
      </c>
      <c r="L219">
        <v>22</v>
      </c>
      <c r="M219">
        <v>10</v>
      </c>
      <c r="N219">
        <v>120</v>
      </c>
      <c r="O219" t="s">
        <v>24</v>
      </c>
      <c r="P219" t="s">
        <v>25</v>
      </c>
    </row>
    <row r="220" spans="1:16" x14ac:dyDescent="0.25">
      <c r="A220" t="s">
        <v>1005</v>
      </c>
      <c r="B220" t="s">
        <v>322</v>
      </c>
      <c r="C220" t="s">
        <v>43</v>
      </c>
      <c r="D220" t="s">
        <v>263</v>
      </c>
      <c r="E220" t="s">
        <v>1006</v>
      </c>
      <c r="F220" t="s">
        <v>21</v>
      </c>
      <c r="G220" t="s">
        <v>265</v>
      </c>
      <c r="H220" t="s">
        <v>266</v>
      </c>
      <c r="I220">
        <v>3</v>
      </c>
      <c r="J220">
        <v>90</v>
      </c>
      <c r="K220">
        <v>1.25</v>
      </c>
      <c r="L220">
        <v>23</v>
      </c>
      <c r="M220">
        <v>10</v>
      </c>
      <c r="N220">
        <v>123</v>
      </c>
      <c r="O220" t="s">
        <v>24</v>
      </c>
      <c r="P220" t="s">
        <v>25</v>
      </c>
    </row>
    <row r="221" spans="1:16" x14ac:dyDescent="0.25">
      <c r="A221" t="s">
        <v>1007</v>
      </c>
      <c r="B221" t="s">
        <v>328</v>
      </c>
      <c r="C221" t="s">
        <v>50</v>
      </c>
      <c r="D221" t="s">
        <v>269</v>
      </c>
      <c r="E221" t="s">
        <v>1008</v>
      </c>
      <c r="F221" t="s">
        <v>38</v>
      </c>
      <c r="G221" t="s">
        <v>271</v>
      </c>
      <c r="H221" t="s">
        <v>272</v>
      </c>
      <c r="I221">
        <v>1</v>
      </c>
      <c r="J221">
        <v>20</v>
      </c>
      <c r="K221">
        <v>1.25</v>
      </c>
      <c r="L221">
        <v>5</v>
      </c>
      <c r="M221">
        <v>10</v>
      </c>
      <c r="N221">
        <v>10</v>
      </c>
      <c r="O221" t="s">
        <v>24</v>
      </c>
      <c r="P221" t="s">
        <v>25</v>
      </c>
    </row>
    <row r="222" spans="1:16" x14ac:dyDescent="0.25">
      <c r="A222" t="s">
        <v>1009</v>
      </c>
      <c r="B222" t="s">
        <v>334</v>
      </c>
      <c r="C222" t="s">
        <v>18</v>
      </c>
      <c r="D222" t="s">
        <v>275</v>
      </c>
      <c r="E222" t="s">
        <v>1010</v>
      </c>
      <c r="F222" t="s">
        <v>38</v>
      </c>
      <c r="G222" t="s">
        <v>1011</v>
      </c>
      <c r="H222" t="s">
        <v>1012</v>
      </c>
      <c r="I222">
        <v>1.5</v>
      </c>
      <c r="J222">
        <v>38</v>
      </c>
      <c r="K222">
        <v>1</v>
      </c>
      <c r="L222">
        <v>0</v>
      </c>
      <c r="M222">
        <v>10</v>
      </c>
      <c r="N222">
        <v>48</v>
      </c>
      <c r="O222" t="s">
        <v>56</v>
      </c>
      <c r="P222" t="s">
        <v>57</v>
      </c>
    </row>
    <row r="223" spans="1:16" x14ac:dyDescent="0.25">
      <c r="A223" t="s">
        <v>1013</v>
      </c>
      <c r="B223" t="s">
        <v>340</v>
      </c>
      <c r="C223" t="s">
        <v>28</v>
      </c>
      <c r="D223" t="s">
        <v>281</v>
      </c>
      <c r="E223" t="s">
        <v>1014</v>
      </c>
      <c r="F223" t="s">
        <v>53</v>
      </c>
      <c r="G223" t="s">
        <v>283</v>
      </c>
      <c r="H223" t="s">
        <v>1015</v>
      </c>
      <c r="I223">
        <v>2</v>
      </c>
      <c r="J223">
        <v>140</v>
      </c>
      <c r="K223">
        <v>1.25</v>
      </c>
      <c r="L223">
        <v>35</v>
      </c>
      <c r="M223">
        <v>10</v>
      </c>
      <c r="N223">
        <v>185</v>
      </c>
      <c r="O223" t="s">
        <v>65</v>
      </c>
      <c r="P223" t="s">
        <v>25</v>
      </c>
    </row>
    <row r="224" spans="1:16" x14ac:dyDescent="0.25">
      <c r="A224" t="s">
        <v>1016</v>
      </c>
      <c r="B224" t="s">
        <v>346</v>
      </c>
      <c r="C224" t="s">
        <v>35</v>
      </c>
      <c r="D224" t="s">
        <v>287</v>
      </c>
      <c r="E224" t="s">
        <v>1017</v>
      </c>
      <c r="F224" t="s">
        <v>62</v>
      </c>
      <c r="G224" t="s">
        <v>705</v>
      </c>
      <c r="H224" t="s">
        <v>1018</v>
      </c>
      <c r="I224">
        <v>2.5</v>
      </c>
      <c r="J224">
        <v>158</v>
      </c>
      <c r="K224">
        <v>1.25</v>
      </c>
      <c r="L224">
        <v>40</v>
      </c>
      <c r="M224">
        <v>10</v>
      </c>
      <c r="N224">
        <v>208</v>
      </c>
      <c r="O224" t="s">
        <v>72</v>
      </c>
      <c r="P224" t="s">
        <v>73</v>
      </c>
    </row>
    <row r="225" spans="1:16" x14ac:dyDescent="0.25">
      <c r="A225" t="s">
        <v>1019</v>
      </c>
      <c r="B225" t="s">
        <v>352</v>
      </c>
      <c r="C225" t="s">
        <v>43</v>
      </c>
      <c r="D225" t="s">
        <v>293</v>
      </c>
      <c r="E225" t="s">
        <v>1020</v>
      </c>
      <c r="F225" t="s">
        <v>21</v>
      </c>
      <c r="G225" t="s">
        <v>295</v>
      </c>
      <c r="H225" t="s">
        <v>296</v>
      </c>
      <c r="I225">
        <v>3</v>
      </c>
      <c r="J225">
        <v>90</v>
      </c>
      <c r="K225">
        <v>1.25</v>
      </c>
      <c r="L225">
        <v>23</v>
      </c>
      <c r="M225">
        <v>10</v>
      </c>
      <c r="N225">
        <v>123</v>
      </c>
      <c r="O225" t="s">
        <v>80</v>
      </c>
      <c r="P225" t="s">
        <v>25</v>
      </c>
    </row>
    <row r="226" spans="1:16" x14ac:dyDescent="0.25">
      <c r="A226" t="s">
        <v>1021</v>
      </c>
      <c r="B226" t="s">
        <v>358</v>
      </c>
      <c r="C226" t="s">
        <v>50</v>
      </c>
      <c r="D226" t="s">
        <v>299</v>
      </c>
      <c r="E226" t="s">
        <v>1022</v>
      </c>
      <c r="F226" t="s">
        <v>21</v>
      </c>
      <c r="G226" t="s">
        <v>301</v>
      </c>
      <c r="H226" t="s">
        <v>302</v>
      </c>
      <c r="I226">
        <v>1</v>
      </c>
      <c r="J226">
        <v>40</v>
      </c>
      <c r="K226">
        <v>1.25</v>
      </c>
      <c r="L226">
        <v>10</v>
      </c>
      <c r="M226">
        <v>10</v>
      </c>
      <c r="N226">
        <v>35</v>
      </c>
      <c r="O226" t="s">
        <v>24</v>
      </c>
      <c r="P226" t="s">
        <v>25</v>
      </c>
    </row>
    <row r="227" spans="1:16" x14ac:dyDescent="0.25">
      <c r="A227" t="s">
        <v>1023</v>
      </c>
      <c r="B227" t="s">
        <v>364</v>
      </c>
      <c r="C227" t="s">
        <v>18</v>
      </c>
      <c r="D227" t="s">
        <v>305</v>
      </c>
      <c r="E227" t="s">
        <v>1024</v>
      </c>
      <c r="F227" t="s">
        <v>21</v>
      </c>
      <c r="G227" t="s">
        <v>1025</v>
      </c>
      <c r="H227" t="s">
        <v>1026</v>
      </c>
      <c r="I227">
        <v>1.5</v>
      </c>
      <c r="J227">
        <v>75</v>
      </c>
      <c r="K227">
        <v>1.25</v>
      </c>
      <c r="L227">
        <v>19</v>
      </c>
      <c r="M227">
        <v>10</v>
      </c>
      <c r="N227">
        <v>104</v>
      </c>
      <c r="O227" t="s">
        <v>24</v>
      </c>
      <c r="P227" t="s">
        <v>25</v>
      </c>
    </row>
    <row r="228" spans="1:16" x14ac:dyDescent="0.25">
      <c r="A228" t="s">
        <v>1027</v>
      </c>
      <c r="B228" t="s">
        <v>370</v>
      </c>
      <c r="C228" t="s">
        <v>28</v>
      </c>
      <c r="D228" t="s">
        <v>311</v>
      </c>
      <c r="E228" t="s">
        <v>1028</v>
      </c>
      <c r="F228" t="s">
        <v>38</v>
      </c>
      <c r="G228" t="s">
        <v>1029</v>
      </c>
      <c r="H228" t="s">
        <v>1030</v>
      </c>
      <c r="I228">
        <v>2</v>
      </c>
      <c r="J228">
        <v>60</v>
      </c>
      <c r="K228">
        <v>1.25</v>
      </c>
      <c r="L228">
        <v>15</v>
      </c>
      <c r="M228">
        <v>10</v>
      </c>
      <c r="N228">
        <v>85</v>
      </c>
      <c r="O228" t="s">
        <v>24</v>
      </c>
      <c r="P228" t="s">
        <v>25</v>
      </c>
    </row>
    <row r="229" spans="1:16" x14ac:dyDescent="0.25">
      <c r="A229" t="s">
        <v>1031</v>
      </c>
      <c r="B229" t="s">
        <v>376</v>
      </c>
      <c r="C229" t="s">
        <v>35</v>
      </c>
      <c r="D229" t="s">
        <v>317</v>
      </c>
      <c r="E229" t="s">
        <v>1032</v>
      </c>
      <c r="F229" t="s">
        <v>38</v>
      </c>
      <c r="G229" t="s">
        <v>319</v>
      </c>
      <c r="H229" t="s">
        <v>320</v>
      </c>
      <c r="I229">
        <v>2.5</v>
      </c>
      <c r="J229">
        <v>38</v>
      </c>
      <c r="K229">
        <v>1.25</v>
      </c>
      <c r="L229">
        <v>10</v>
      </c>
      <c r="M229">
        <v>10</v>
      </c>
      <c r="N229">
        <v>58</v>
      </c>
      <c r="O229" t="s">
        <v>24</v>
      </c>
      <c r="P229" t="s">
        <v>25</v>
      </c>
    </row>
    <row r="230" spans="1:16" x14ac:dyDescent="0.25">
      <c r="A230" t="s">
        <v>1033</v>
      </c>
      <c r="B230" t="s">
        <v>382</v>
      </c>
      <c r="C230" t="s">
        <v>43</v>
      </c>
      <c r="D230" t="s">
        <v>323</v>
      </c>
      <c r="E230" t="s">
        <v>1034</v>
      </c>
      <c r="F230" t="s">
        <v>53</v>
      </c>
      <c r="G230" t="s">
        <v>1035</v>
      </c>
      <c r="H230" t="s">
        <v>1036</v>
      </c>
      <c r="I230">
        <v>3</v>
      </c>
      <c r="J230">
        <v>120</v>
      </c>
      <c r="K230">
        <v>1.25</v>
      </c>
      <c r="L230">
        <v>30</v>
      </c>
      <c r="M230">
        <v>10</v>
      </c>
      <c r="N230">
        <v>160</v>
      </c>
      <c r="O230" t="s">
        <v>24</v>
      </c>
      <c r="P230" t="s">
        <v>25</v>
      </c>
    </row>
    <row r="231" spans="1:16" x14ac:dyDescent="0.25">
      <c r="A231" t="s">
        <v>1037</v>
      </c>
      <c r="B231" t="s">
        <v>388</v>
      </c>
      <c r="C231" t="s">
        <v>50</v>
      </c>
      <c r="D231" t="s">
        <v>329</v>
      </c>
      <c r="E231" t="s">
        <v>1038</v>
      </c>
      <c r="F231" t="s">
        <v>62</v>
      </c>
      <c r="G231" t="s">
        <v>1039</v>
      </c>
      <c r="H231" t="s">
        <v>1040</v>
      </c>
      <c r="I231">
        <v>1</v>
      </c>
      <c r="J231">
        <v>72</v>
      </c>
      <c r="K231">
        <v>1.25</v>
      </c>
      <c r="L231">
        <v>18</v>
      </c>
      <c r="M231">
        <v>10</v>
      </c>
      <c r="N231">
        <v>75</v>
      </c>
      <c r="O231" t="s">
        <v>56</v>
      </c>
      <c r="P231" t="s">
        <v>57</v>
      </c>
    </row>
    <row r="232" spans="1:16" x14ac:dyDescent="0.25">
      <c r="A232" t="s">
        <v>1041</v>
      </c>
      <c r="B232" t="s">
        <v>394</v>
      </c>
      <c r="C232" t="s">
        <v>18</v>
      </c>
      <c r="D232" t="s">
        <v>335</v>
      </c>
      <c r="E232" t="s">
        <v>1042</v>
      </c>
      <c r="F232" t="s">
        <v>21</v>
      </c>
      <c r="G232" t="s">
        <v>337</v>
      </c>
      <c r="H232" t="s">
        <v>338</v>
      </c>
      <c r="I232">
        <v>1.5</v>
      </c>
      <c r="J232">
        <v>75</v>
      </c>
      <c r="K232">
        <v>1.25</v>
      </c>
      <c r="L232">
        <v>19</v>
      </c>
      <c r="M232">
        <v>10</v>
      </c>
      <c r="N232">
        <v>104</v>
      </c>
      <c r="O232" t="s">
        <v>65</v>
      </c>
      <c r="P232" t="s">
        <v>25</v>
      </c>
    </row>
    <row r="233" spans="1:16" x14ac:dyDescent="0.25">
      <c r="A233" t="s">
        <v>1043</v>
      </c>
      <c r="B233" t="s">
        <v>399</v>
      </c>
      <c r="C233" t="s">
        <v>28</v>
      </c>
      <c r="D233" t="s">
        <v>341</v>
      </c>
      <c r="E233" t="s">
        <v>1044</v>
      </c>
      <c r="F233" t="s">
        <v>21</v>
      </c>
      <c r="G233" t="s">
        <v>343</v>
      </c>
      <c r="H233" t="s">
        <v>344</v>
      </c>
      <c r="I233">
        <v>2</v>
      </c>
      <c r="J233">
        <v>120</v>
      </c>
      <c r="K233">
        <v>1.25</v>
      </c>
      <c r="L233">
        <v>30</v>
      </c>
      <c r="M233">
        <v>10</v>
      </c>
      <c r="N233">
        <v>160</v>
      </c>
      <c r="O233" t="s">
        <v>72</v>
      </c>
      <c r="P233" t="s">
        <v>73</v>
      </c>
    </row>
    <row r="234" spans="1:16" x14ac:dyDescent="0.25">
      <c r="A234" t="s">
        <v>1045</v>
      </c>
      <c r="B234" t="s">
        <v>404</v>
      </c>
      <c r="C234" t="s">
        <v>35</v>
      </c>
      <c r="D234" t="s">
        <v>347</v>
      </c>
      <c r="E234" t="s">
        <v>1046</v>
      </c>
      <c r="F234" t="s">
        <v>21</v>
      </c>
      <c r="G234" t="s">
        <v>745</v>
      </c>
      <c r="H234" t="s">
        <v>1047</v>
      </c>
      <c r="I234">
        <v>2.5</v>
      </c>
      <c r="J234">
        <v>88</v>
      </c>
      <c r="K234">
        <v>1.25</v>
      </c>
      <c r="L234">
        <v>22</v>
      </c>
      <c r="M234">
        <v>10</v>
      </c>
      <c r="N234">
        <v>120</v>
      </c>
      <c r="O234" t="s">
        <v>80</v>
      </c>
      <c r="P234" t="s">
        <v>25</v>
      </c>
    </row>
    <row r="235" spans="1:16" x14ac:dyDescent="0.25">
      <c r="A235" t="s">
        <v>1048</v>
      </c>
      <c r="B235" t="s">
        <v>409</v>
      </c>
      <c r="C235" t="s">
        <v>43</v>
      </c>
      <c r="D235" t="s">
        <v>353</v>
      </c>
      <c r="E235" t="s">
        <v>1049</v>
      </c>
      <c r="F235" t="s">
        <v>38</v>
      </c>
      <c r="G235" t="s">
        <v>355</v>
      </c>
      <c r="H235" t="s">
        <v>356</v>
      </c>
      <c r="I235">
        <v>3</v>
      </c>
      <c r="J235">
        <v>30</v>
      </c>
      <c r="K235">
        <v>1.25</v>
      </c>
      <c r="L235">
        <v>8</v>
      </c>
      <c r="M235">
        <v>10</v>
      </c>
      <c r="N235">
        <v>48</v>
      </c>
      <c r="O235" t="s">
        <v>24</v>
      </c>
      <c r="P235" t="s">
        <v>25</v>
      </c>
    </row>
    <row r="236" spans="1:16" x14ac:dyDescent="0.25">
      <c r="A236" t="s">
        <v>1050</v>
      </c>
      <c r="B236" t="s">
        <v>414</v>
      </c>
      <c r="C236" t="s">
        <v>50</v>
      </c>
      <c r="D236" t="s">
        <v>359</v>
      </c>
      <c r="E236" t="s">
        <v>1051</v>
      </c>
      <c r="F236" t="s">
        <v>38</v>
      </c>
      <c r="G236" t="s">
        <v>1052</v>
      </c>
      <c r="H236" t="s">
        <v>1053</v>
      </c>
      <c r="I236">
        <v>1</v>
      </c>
      <c r="J236">
        <v>20</v>
      </c>
      <c r="K236">
        <v>1</v>
      </c>
      <c r="L236">
        <v>0</v>
      </c>
      <c r="M236">
        <v>10</v>
      </c>
      <c r="N236">
        <v>5</v>
      </c>
      <c r="O236" t="s">
        <v>24</v>
      </c>
      <c r="P236" t="s">
        <v>25</v>
      </c>
    </row>
    <row r="237" spans="1:16" x14ac:dyDescent="0.25">
      <c r="A237" t="s">
        <v>1054</v>
      </c>
      <c r="B237" t="s">
        <v>419</v>
      </c>
      <c r="C237" t="s">
        <v>18</v>
      </c>
      <c r="D237" t="s">
        <v>365</v>
      </c>
      <c r="E237" t="s">
        <v>1055</v>
      </c>
      <c r="F237" t="s">
        <v>53</v>
      </c>
      <c r="G237" t="s">
        <v>367</v>
      </c>
      <c r="H237" t="s">
        <v>368</v>
      </c>
      <c r="I237">
        <v>1.5</v>
      </c>
      <c r="J237">
        <v>90</v>
      </c>
      <c r="K237">
        <v>1.25</v>
      </c>
      <c r="L237">
        <v>23</v>
      </c>
      <c r="M237">
        <v>10</v>
      </c>
      <c r="N237">
        <v>123</v>
      </c>
      <c r="O237" t="s">
        <v>24</v>
      </c>
      <c r="P237" t="s">
        <v>25</v>
      </c>
    </row>
    <row r="238" spans="1:16" x14ac:dyDescent="0.25">
      <c r="A238" t="s">
        <v>1056</v>
      </c>
      <c r="B238" t="s">
        <v>424</v>
      </c>
      <c r="C238" t="s">
        <v>28</v>
      </c>
      <c r="D238" t="s">
        <v>371</v>
      </c>
      <c r="E238" t="s">
        <v>1057</v>
      </c>
      <c r="F238" t="s">
        <v>62</v>
      </c>
      <c r="G238" t="s">
        <v>373</v>
      </c>
      <c r="H238" t="s">
        <v>374</v>
      </c>
      <c r="I238">
        <v>2</v>
      </c>
      <c r="J238">
        <v>216</v>
      </c>
      <c r="K238">
        <v>1.25</v>
      </c>
      <c r="L238">
        <v>54</v>
      </c>
      <c r="M238">
        <v>10</v>
      </c>
      <c r="N238">
        <v>280</v>
      </c>
      <c r="O238" t="s">
        <v>24</v>
      </c>
      <c r="P238" t="s">
        <v>25</v>
      </c>
    </row>
    <row r="239" spans="1:16" x14ac:dyDescent="0.25">
      <c r="A239" t="s">
        <v>1058</v>
      </c>
      <c r="B239" t="s">
        <v>429</v>
      </c>
      <c r="C239" t="s">
        <v>35</v>
      </c>
      <c r="D239" t="s">
        <v>377</v>
      </c>
      <c r="E239" t="s">
        <v>1059</v>
      </c>
      <c r="F239" t="s">
        <v>21</v>
      </c>
      <c r="G239" t="s">
        <v>1060</v>
      </c>
      <c r="H239" t="s">
        <v>1061</v>
      </c>
      <c r="I239">
        <v>2.5</v>
      </c>
      <c r="J239">
        <v>88</v>
      </c>
      <c r="K239">
        <v>1</v>
      </c>
      <c r="L239">
        <v>0</v>
      </c>
      <c r="M239">
        <v>10</v>
      </c>
      <c r="N239">
        <v>98</v>
      </c>
      <c r="O239" t="s">
        <v>24</v>
      </c>
      <c r="P239" t="s">
        <v>25</v>
      </c>
    </row>
    <row r="240" spans="1:16" x14ac:dyDescent="0.25">
      <c r="A240" t="s">
        <v>1062</v>
      </c>
      <c r="B240" t="s">
        <v>434</v>
      </c>
      <c r="C240" t="s">
        <v>43</v>
      </c>
      <c r="D240" t="s">
        <v>383</v>
      </c>
      <c r="E240" t="s">
        <v>1063</v>
      </c>
      <c r="F240" t="s">
        <v>21</v>
      </c>
      <c r="G240" t="s">
        <v>1064</v>
      </c>
      <c r="H240" t="s">
        <v>1065</v>
      </c>
      <c r="I240">
        <v>3</v>
      </c>
      <c r="J240">
        <v>90</v>
      </c>
      <c r="K240">
        <v>1</v>
      </c>
      <c r="L240">
        <v>0</v>
      </c>
      <c r="M240">
        <v>10</v>
      </c>
      <c r="N240">
        <v>100</v>
      </c>
      <c r="O240" t="s">
        <v>56</v>
      </c>
      <c r="P240" t="s">
        <v>57</v>
      </c>
    </row>
    <row r="241" spans="1:16" x14ac:dyDescent="0.25">
      <c r="A241" t="s">
        <v>1066</v>
      </c>
      <c r="B241" t="s">
        <v>439</v>
      </c>
      <c r="C241" t="s">
        <v>50</v>
      </c>
      <c r="D241" t="s">
        <v>389</v>
      </c>
      <c r="E241" t="s">
        <v>1067</v>
      </c>
      <c r="F241" t="s">
        <v>21</v>
      </c>
      <c r="G241" t="s">
        <v>391</v>
      </c>
      <c r="H241" t="s">
        <v>392</v>
      </c>
      <c r="I241">
        <v>1</v>
      </c>
      <c r="J241">
        <v>40</v>
      </c>
      <c r="K241">
        <v>1.25</v>
      </c>
      <c r="L241">
        <v>10</v>
      </c>
      <c r="M241">
        <v>10</v>
      </c>
      <c r="N241">
        <v>60</v>
      </c>
      <c r="O241" t="s">
        <v>65</v>
      </c>
      <c r="P241" t="s">
        <v>25</v>
      </c>
    </row>
    <row r="242" spans="1:16" x14ac:dyDescent="0.25">
      <c r="A242" t="s">
        <v>1068</v>
      </c>
      <c r="B242" t="s">
        <v>444</v>
      </c>
      <c r="C242" t="s">
        <v>18</v>
      </c>
      <c r="D242" t="s">
        <v>19</v>
      </c>
      <c r="E242" t="s">
        <v>1069</v>
      </c>
      <c r="F242" t="s">
        <v>38</v>
      </c>
      <c r="G242" t="s">
        <v>1070</v>
      </c>
      <c r="H242" t="s">
        <v>1071</v>
      </c>
      <c r="I242">
        <v>1.5</v>
      </c>
      <c r="J242">
        <v>38</v>
      </c>
      <c r="K242">
        <v>1.25</v>
      </c>
      <c r="L242">
        <v>10</v>
      </c>
      <c r="M242">
        <v>10</v>
      </c>
      <c r="N242">
        <v>58</v>
      </c>
      <c r="O242" t="s">
        <v>72</v>
      </c>
      <c r="P242" t="s">
        <v>73</v>
      </c>
    </row>
    <row r="243" spans="1:16" x14ac:dyDescent="0.25">
      <c r="A243" t="s">
        <v>1072</v>
      </c>
      <c r="B243" t="s">
        <v>449</v>
      </c>
      <c r="C243" t="s">
        <v>28</v>
      </c>
      <c r="D243" t="s">
        <v>29</v>
      </c>
      <c r="E243" t="s">
        <v>1073</v>
      </c>
      <c r="F243" t="s">
        <v>38</v>
      </c>
      <c r="G243" t="s">
        <v>1074</v>
      </c>
      <c r="H243" t="s">
        <v>1075</v>
      </c>
      <c r="I243">
        <v>2</v>
      </c>
      <c r="J243">
        <v>60</v>
      </c>
      <c r="K243">
        <v>1</v>
      </c>
      <c r="L243">
        <v>0</v>
      </c>
      <c r="M243">
        <v>10</v>
      </c>
      <c r="N243">
        <v>70</v>
      </c>
      <c r="O243" t="s">
        <v>80</v>
      </c>
      <c r="P243" t="s">
        <v>25</v>
      </c>
    </row>
    <row r="244" spans="1:16" x14ac:dyDescent="0.25">
      <c r="A244" t="s">
        <v>1076</v>
      </c>
      <c r="B244" t="s">
        <v>454</v>
      </c>
      <c r="C244" t="s">
        <v>35</v>
      </c>
      <c r="D244" t="s">
        <v>36</v>
      </c>
      <c r="E244" t="s">
        <v>1077</v>
      </c>
      <c r="F244" t="s">
        <v>53</v>
      </c>
      <c r="G244" t="s">
        <v>406</v>
      </c>
      <c r="H244" t="s">
        <v>407</v>
      </c>
      <c r="I244">
        <v>2.5</v>
      </c>
      <c r="J244">
        <v>113</v>
      </c>
      <c r="K244">
        <v>1.25</v>
      </c>
      <c r="L244">
        <v>28</v>
      </c>
      <c r="M244">
        <v>10</v>
      </c>
      <c r="N244">
        <v>151</v>
      </c>
      <c r="O244" t="s">
        <v>24</v>
      </c>
      <c r="P244" t="s">
        <v>25</v>
      </c>
    </row>
    <row r="245" spans="1:16" x14ac:dyDescent="0.25">
      <c r="A245" t="s">
        <v>1078</v>
      </c>
      <c r="B245" t="s">
        <v>459</v>
      </c>
      <c r="C245" t="s">
        <v>43</v>
      </c>
      <c r="D245" t="s">
        <v>44</v>
      </c>
      <c r="E245" t="s">
        <v>1079</v>
      </c>
      <c r="F245" t="s">
        <v>62</v>
      </c>
      <c r="G245" t="s">
        <v>411</v>
      </c>
      <c r="H245" t="s">
        <v>412</v>
      </c>
      <c r="I245">
        <v>3</v>
      </c>
      <c r="J245">
        <v>162</v>
      </c>
      <c r="K245">
        <v>1.25</v>
      </c>
      <c r="L245">
        <v>41</v>
      </c>
      <c r="M245">
        <v>10</v>
      </c>
      <c r="N245">
        <v>213</v>
      </c>
      <c r="O245" t="s">
        <v>24</v>
      </c>
      <c r="P245" t="s">
        <v>25</v>
      </c>
    </row>
    <row r="246" spans="1:16" x14ac:dyDescent="0.25">
      <c r="A246" t="s">
        <v>1080</v>
      </c>
      <c r="B246" t="s">
        <v>464</v>
      </c>
      <c r="C246" t="s">
        <v>50</v>
      </c>
      <c r="D246" t="s">
        <v>51</v>
      </c>
      <c r="E246" t="s">
        <v>1081</v>
      </c>
      <c r="F246" t="s">
        <v>21</v>
      </c>
      <c r="G246" t="s">
        <v>1082</v>
      </c>
      <c r="H246" t="s">
        <v>1083</v>
      </c>
      <c r="I246">
        <v>1</v>
      </c>
      <c r="J246">
        <v>40</v>
      </c>
      <c r="K246">
        <v>1</v>
      </c>
      <c r="L246">
        <v>0</v>
      </c>
      <c r="M246">
        <v>10</v>
      </c>
      <c r="N246">
        <v>25</v>
      </c>
      <c r="O246" t="s">
        <v>24</v>
      </c>
      <c r="P246" t="s">
        <v>25</v>
      </c>
    </row>
    <row r="247" spans="1:16" x14ac:dyDescent="0.25">
      <c r="A247" t="s">
        <v>1084</v>
      </c>
      <c r="B247" t="s">
        <v>469</v>
      </c>
      <c r="C247" t="s">
        <v>18</v>
      </c>
      <c r="D247" t="s">
        <v>60</v>
      </c>
      <c r="E247" t="s">
        <v>1085</v>
      </c>
      <c r="F247" t="s">
        <v>21</v>
      </c>
      <c r="G247" t="s">
        <v>421</v>
      </c>
      <c r="H247" t="s">
        <v>422</v>
      </c>
      <c r="I247">
        <v>1.5</v>
      </c>
      <c r="J247">
        <v>75</v>
      </c>
      <c r="K247">
        <v>1.25</v>
      </c>
      <c r="L247">
        <v>19</v>
      </c>
      <c r="M247">
        <v>10</v>
      </c>
      <c r="N247">
        <v>104</v>
      </c>
      <c r="O247" t="s">
        <v>24</v>
      </c>
      <c r="P247" t="s">
        <v>25</v>
      </c>
    </row>
    <row r="248" spans="1:16" x14ac:dyDescent="0.25">
      <c r="A248" t="s">
        <v>1086</v>
      </c>
      <c r="B248" t="s">
        <v>474</v>
      </c>
      <c r="C248" t="s">
        <v>28</v>
      </c>
      <c r="D248" t="s">
        <v>68</v>
      </c>
      <c r="E248" t="s">
        <v>1087</v>
      </c>
      <c r="F248" t="s">
        <v>21</v>
      </c>
      <c r="G248" t="s">
        <v>1088</v>
      </c>
      <c r="H248" t="s">
        <v>1089</v>
      </c>
      <c r="I248">
        <v>2</v>
      </c>
      <c r="J248">
        <v>120</v>
      </c>
      <c r="K248">
        <v>1.25</v>
      </c>
      <c r="L248">
        <v>30</v>
      </c>
      <c r="M248">
        <v>10</v>
      </c>
      <c r="N248">
        <v>160</v>
      </c>
      <c r="O248" t="s">
        <v>24</v>
      </c>
      <c r="P248" t="s">
        <v>25</v>
      </c>
    </row>
    <row r="249" spans="1:16" x14ac:dyDescent="0.25">
      <c r="A249" t="s">
        <v>1090</v>
      </c>
      <c r="B249" t="s">
        <v>479</v>
      </c>
      <c r="C249" t="s">
        <v>35</v>
      </c>
      <c r="D249" t="s">
        <v>76</v>
      </c>
      <c r="E249" t="s">
        <v>1091</v>
      </c>
      <c r="F249" t="s">
        <v>38</v>
      </c>
      <c r="G249" t="s">
        <v>431</v>
      </c>
      <c r="H249" t="s">
        <v>432</v>
      </c>
      <c r="I249">
        <v>2.5</v>
      </c>
      <c r="J249">
        <v>38</v>
      </c>
      <c r="K249">
        <v>1.25</v>
      </c>
      <c r="L249">
        <v>10</v>
      </c>
      <c r="M249">
        <v>10</v>
      </c>
      <c r="N249">
        <v>58</v>
      </c>
      <c r="O249" t="s">
        <v>56</v>
      </c>
      <c r="P249" t="s">
        <v>57</v>
      </c>
    </row>
    <row r="250" spans="1:16" x14ac:dyDescent="0.25">
      <c r="A250" t="s">
        <v>1092</v>
      </c>
      <c r="B250" t="s">
        <v>484</v>
      </c>
      <c r="C250" t="s">
        <v>43</v>
      </c>
      <c r="D250" t="s">
        <v>83</v>
      </c>
      <c r="E250" t="s">
        <v>1093</v>
      </c>
      <c r="F250" t="s">
        <v>38</v>
      </c>
      <c r="G250" t="s">
        <v>436</v>
      </c>
      <c r="H250" t="s">
        <v>437</v>
      </c>
      <c r="I250">
        <v>3</v>
      </c>
      <c r="J250">
        <v>30</v>
      </c>
      <c r="K250">
        <v>1.25</v>
      </c>
      <c r="L250">
        <v>8</v>
      </c>
      <c r="M250">
        <v>10</v>
      </c>
      <c r="N250">
        <v>48</v>
      </c>
      <c r="O250" t="s">
        <v>65</v>
      </c>
      <c r="P250" t="s">
        <v>25</v>
      </c>
    </row>
    <row r="251" spans="1:16" x14ac:dyDescent="0.25">
      <c r="A251" t="s">
        <v>1094</v>
      </c>
      <c r="B251" t="s">
        <v>489</v>
      </c>
      <c r="C251" t="s">
        <v>50</v>
      </c>
      <c r="D251" t="s">
        <v>89</v>
      </c>
      <c r="E251" t="s">
        <v>1095</v>
      </c>
      <c r="F251" t="s">
        <v>53</v>
      </c>
      <c r="G251" t="s">
        <v>1096</v>
      </c>
      <c r="H251" t="s">
        <v>1097</v>
      </c>
      <c r="I251">
        <v>1</v>
      </c>
      <c r="J251">
        <v>50</v>
      </c>
      <c r="K251">
        <v>1</v>
      </c>
      <c r="L251">
        <v>0</v>
      </c>
      <c r="M251">
        <v>10</v>
      </c>
      <c r="N251">
        <v>60</v>
      </c>
      <c r="O251" t="s">
        <v>72</v>
      </c>
      <c r="P251" t="s">
        <v>73</v>
      </c>
    </row>
    <row r="252" spans="1:16" x14ac:dyDescent="0.25">
      <c r="A252" t="s">
        <v>1098</v>
      </c>
      <c r="B252" t="s">
        <v>494</v>
      </c>
      <c r="C252" t="s">
        <v>18</v>
      </c>
      <c r="D252" t="s">
        <v>95</v>
      </c>
      <c r="E252" t="s">
        <v>1099</v>
      </c>
      <c r="F252" t="s">
        <v>62</v>
      </c>
      <c r="G252" t="s">
        <v>816</v>
      </c>
      <c r="H252" t="s">
        <v>1100</v>
      </c>
      <c r="I252">
        <v>1.5</v>
      </c>
      <c r="J252">
        <v>135</v>
      </c>
      <c r="K252">
        <v>1.25</v>
      </c>
      <c r="L252">
        <v>34</v>
      </c>
      <c r="M252">
        <v>10</v>
      </c>
      <c r="N252">
        <v>179</v>
      </c>
      <c r="O252" t="s">
        <v>80</v>
      </c>
      <c r="P252" t="s">
        <v>25</v>
      </c>
    </row>
    <row r="253" spans="1:16" x14ac:dyDescent="0.25">
      <c r="A253" t="s">
        <v>1101</v>
      </c>
      <c r="B253" t="s">
        <v>499</v>
      </c>
      <c r="C253" t="s">
        <v>28</v>
      </c>
      <c r="D253" t="s">
        <v>101</v>
      </c>
      <c r="E253" t="s">
        <v>1102</v>
      </c>
      <c r="F253" t="s">
        <v>21</v>
      </c>
      <c r="G253" t="s">
        <v>451</v>
      </c>
      <c r="H253" t="s">
        <v>452</v>
      </c>
      <c r="I253">
        <v>2</v>
      </c>
      <c r="J253">
        <v>120</v>
      </c>
      <c r="K253">
        <v>1.25</v>
      </c>
      <c r="L253">
        <v>30</v>
      </c>
      <c r="M253">
        <v>10</v>
      </c>
      <c r="N253">
        <v>160</v>
      </c>
      <c r="O253" t="s">
        <v>24</v>
      </c>
      <c r="P253" t="s">
        <v>25</v>
      </c>
    </row>
    <row r="254" spans="1:16" x14ac:dyDescent="0.25">
      <c r="A254" t="s">
        <v>1103</v>
      </c>
      <c r="B254" t="s">
        <v>504</v>
      </c>
      <c r="C254" t="s">
        <v>35</v>
      </c>
      <c r="D254" t="s">
        <v>107</v>
      </c>
      <c r="E254" t="s">
        <v>1104</v>
      </c>
      <c r="F254" t="s">
        <v>21</v>
      </c>
      <c r="G254" t="s">
        <v>1105</v>
      </c>
      <c r="H254" t="s">
        <v>1106</v>
      </c>
      <c r="I254">
        <v>2.5</v>
      </c>
      <c r="J254">
        <v>88</v>
      </c>
      <c r="K254">
        <v>1</v>
      </c>
      <c r="L254">
        <v>0</v>
      </c>
      <c r="M254">
        <v>10</v>
      </c>
      <c r="N254">
        <v>98</v>
      </c>
      <c r="O254" t="s">
        <v>24</v>
      </c>
      <c r="P254" t="s">
        <v>25</v>
      </c>
    </row>
    <row r="255" spans="1:16" x14ac:dyDescent="0.25">
      <c r="A255" t="s">
        <v>1107</v>
      </c>
      <c r="B255" t="s">
        <v>509</v>
      </c>
      <c r="C255" t="s">
        <v>43</v>
      </c>
      <c r="D255" t="s">
        <v>113</v>
      </c>
      <c r="E255" t="s">
        <v>1108</v>
      </c>
      <c r="F255" t="s">
        <v>21</v>
      </c>
      <c r="G255" t="s">
        <v>1109</v>
      </c>
      <c r="H255" t="s">
        <v>1110</v>
      </c>
      <c r="I255">
        <v>3</v>
      </c>
      <c r="J255">
        <v>90</v>
      </c>
      <c r="K255">
        <v>1.25</v>
      </c>
      <c r="L255">
        <v>23</v>
      </c>
      <c r="M255">
        <v>10</v>
      </c>
      <c r="N255">
        <v>123</v>
      </c>
      <c r="O255" t="s">
        <v>24</v>
      </c>
      <c r="P255" t="s">
        <v>25</v>
      </c>
    </row>
    <row r="256" spans="1:16" x14ac:dyDescent="0.25">
      <c r="A256" t="s">
        <v>1111</v>
      </c>
      <c r="B256" t="s">
        <v>514</v>
      </c>
      <c r="C256" t="s">
        <v>50</v>
      </c>
      <c r="D256" t="s">
        <v>119</v>
      </c>
      <c r="E256" t="s">
        <v>1112</v>
      </c>
      <c r="F256" t="s">
        <v>38</v>
      </c>
      <c r="G256" t="s">
        <v>466</v>
      </c>
      <c r="H256" t="s">
        <v>467</v>
      </c>
      <c r="I256">
        <v>1</v>
      </c>
      <c r="J256">
        <v>20</v>
      </c>
      <c r="K256">
        <v>1.25</v>
      </c>
      <c r="L256">
        <v>5</v>
      </c>
      <c r="M256">
        <v>10</v>
      </c>
      <c r="N256">
        <v>10</v>
      </c>
      <c r="O256" t="s">
        <v>24</v>
      </c>
      <c r="P256" t="s">
        <v>25</v>
      </c>
    </row>
    <row r="257" spans="1:16" x14ac:dyDescent="0.25">
      <c r="A257" t="s">
        <v>1113</v>
      </c>
      <c r="B257" t="s">
        <v>17</v>
      </c>
      <c r="C257" t="s">
        <v>18</v>
      </c>
      <c r="D257" t="s">
        <v>125</v>
      </c>
      <c r="E257" t="s">
        <v>1114</v>
      </c>
      <c r="F257" t="s">
        <v>38</v>
      </c>
      <c r="G257" t="s">
        <v>471</v>
      </c>
      <c r="H257" t="s">
        <v>472</v>
      </c>
      <c r="I257">
        <v>1.5</v>
      </c>
      <c r="J257">
        <v>38</v>
      </c>
      <c r="K257">
        <v>1.25</v>
      </c>
      <c r="L257">
        <v>10</v>
      </c>
      <c r="M257">
        <v>10</v>
      </c>
      <c r="N257">
        <v>58</v>
      </c>
      <c r="O257" t="s">
        <v>24</v>
      </c>
      <c r="P257" t="s">
        <v>25</v>
      </c>
    </row>
    <row r="258" spans="1:16" x14ac:dyDescent="0.25">
      <c r="A258" t="s">
        <v>1115</v>
      </c>
      <c r="B258" t="s">
        <v>27</v>
      </c>
      <c r="C258" t="s">
        <v>28</v>
      </c>
      <c r="D258" t="s">
        <v>131</v>
      </c>
      <c r="E258" t="s">
        <v>1116</v>
      </c>
      <c r="F258" t="s">
        <v>53</v>
      </c>
      <c r="G258" t="s">
        <v>1117</v>
      </c>
      <c r="H258" t="s">
        <v>1118</v>
      </c>
      <c r="I258">
        <v>2</v>
      </c>
      <c r="J258">
        <v>140</v>
      </c>
      <c r="K258">
        <v>1.25</v>
      </c>
      <c r="L258">
        <v>35</v>
      </c>
      <c r="M258">
        <v>10</v>
      </c>
      <c r="N258">
        <v>185</v>
      </c>
      <c r="O258" t="s">
        <v>56</v>
      </c>
      <c r="P258" t="s">
        <v>57</v>
      </c>
    </row>
    <row r="259" spans="1:16" x14ac:dyDescent="0.25">
      <c r="A259" t="s">
        <v>1119</v>
      </c>
      <c r="B259" t="s">
        <v>34</v>
      </c>
      <c r="C259" t="s">
        <v>35</v>
      </c>
      <c r="D259" t="s">
        <v>137</v>
      </c>
      <c r="E259" t="s">
        <v>1120</v>
      </c>
      <c r="F259" t="s">
        <v>62</v>
      </c>
      <c r="G259" t="s">
        <v>481</v>
      </c>
      <c r="H259" t="s">
        <v>482</v>
      </c>
      <c r="I259">
        <v>2.5</v>
      </c>
      <c r="J259">
        <v>158</v>
      </c>
      <c r="K259">
        <v>1.25</v>
      </c>
      <c r="L259">
        <v>40</v>
      </c>
      <c r="M259">
        <v>10</v>
      </c>
      <c r="N259">
        <v>208</v>
      </c>
      <c r="O259" t="s">
        <v>65</v>
      </c>
      <c r="P259" t="s">
        <v>25</v>
      </c>
    </row>
    <row r="260" spans="1:16" x14ac:dyDescent="0.25">
      <c r="A260" t="s">
        <v>1121</v>
      </c>
      <c r="B260" t="s">
        <v>42</v>
      </c>
      <c r="C260" t="s">
        <v>43</v>
      </c>
      <c r="D260" t="s">
        <v>143</v>
      </c>
      <c r="E260" t="s">
        <v>1122</v>
      </c>
      <c r="F260" t="s">
        <v>21</v>
      </c>
      <c r="G260" t="s">
        <v>1123</v>
      </c>
      <c r="H260" t="s">
        <v>1124</v>
      </c>
      <c r="I260">
        <v>3</v>
      </c>
      <c r="J260">
        <v>90</v>
      </c>
      <c r="K260">
        <v>1</v>
      </c>
      <c r="L260">
        <v>0</v>
      </c>
      <c r="M260">
        <v>10</v>
      </c>
      <c r="N260">
        <v>100</v>
      </c>
      <c r="O260" t="s">
        <v>72</v>
      </c>
      <c r="P260" t="s">
        <v>73</v>
      </c>
    </row>
    <row r="261" spans="1:16" x14ac:dyDescent="0.25">
      <c r="A261" t="s">
        <v>1125</v>
      </c>
      <c r="B261" t="s">
        <v>49</v>
      </c>
      <c r="C261" t="s">
        <v>50</v>
      </c>
      <c r="D261" t="s">
        <v>149</v>
      </c>
      <c r="E261" t="s">
        <v>1126</v>
      </c>
      <c r="F261" t="s">
        <v>21</v>
      </c>
      <c r="G261" t="s">
        <v>491</v>
      </c>
      <c r="H261" t="s">
        <v>492</v>
      </c>
      <c r="I261">
        <v>1</v>
      </c>
      <c r="J261">
        <v>40</v>
      </c>
      <c r="K261">
        <v>1.25</v>
      </c>
      <c r="L261">
        <v>10</v>
      </c>
      <c r="M261">
        <v>10</v>
      </c>
      <c r="N261">
        <v>60</v>
      </c>
      <c r="O261" t="s">
        <v>80</v>
      </c>
      <c r="P261" t="s">
        <v>25</v>
      </c>
    </row>
    <row r="262" spans="1:16" x14ac:dyDescent="0.25">
      <c r="A262" t="s">
        <v>1127</v>
      </c>
      <c r="B262" t="s">
        <v>59</v>
      </c>
      <c r="C262" t="s">
        <v>18</v>
      </c>
      <c r="D262" t="s">
        <v>155</v>
      </c>
      <c r="E262" t="s">
        <v>1128</v>
      </c>
      <c r="F262" t="s">
        <v>21</v>
      </c>
      <c r="G262" t="s">
        <v>496</v>
      </c>
      <c r="H262" t="s">
        <v>497</v>
      </c>
      <c r="I262">
        <v>1.5</v>
      </c>
      <c r="J262">
        <v>75</v>
      </c>
      <c r="K262">
        <v>1.25</v>
      </c>
      <c r="L262">
        <v>19</v>
      </c>
      <c r="M262">
        <v>10</v>
      </c>
      <c r="N262">
        <v>104</v>
      </c>
      <c r="O262" t="s">
        <v>24</v>
      </c>
      <c r="P262" t="s">
        <v>25</v>
      </c>
    </row>
    <row r="263" spans="1:16" x14ac:dyDescent="0.25">
      <c r="A263" t="s">
        <v>1129</v>
      </c>
      <c r="B263" t="s">
        <v>67</v>
      </c>
      <c r="C263" t="s">
        <v>28</v>
      </c>
      <c r="D263" t="s">
        <v>161</v>
      </c>
      <c r="E263" t="s">
        <v>1130</v>
      </c>
      <c r="F263" t="s">
        <v>38</v>
      </c>
      <c r="G263" t="s">
        <v>1131</v>
      </c>
      <c r="H263" t="s">
        <v>1132</v>
      </c>
      <c r="I263">
        <v>2</v>
      </c>
      <c r="J263">
        <v>60</v>
      </c>
      <c r="K263">
        <v>1</v>
      </c>
      <c r="L263">
        <v>0</v>
      </c>
      <c r="M263">
        <v>10</v>
      </c>
      <c r="N263">
        <v>70</v>
      </c>
      <c r="O263" t="s">
        <v>24</v>
      </c>
      <c r="P263" t="s">
        <v>25</v>
      </c>
    </row>
    <row r="264" spans="1:16" x14ac:dyDescent="0.25">
      <c r="A264" t="s">
        <v>1133</v>
      </c>
      <c r="B264" t="s">
        <v>75</v>
      </c>
      <c r="C264" t="s">
        <v>35</v>
      </c>
      <c r="D264" t="s">
        <v>167</v>
      </c>
      <c r="E264" t="s">
        <v>1134</v>
      </c>
      <c r="F264" t="s">
        <v>38</v>
      </c>
      <c r="G264" t="s">
        <v>1135</v>
      </c>
      <c r="H264" t="s">
        <v>1136</v>
      </c>
      <c r="I264">
        <v>2.5</v>
      </c>
      <c r="J264">
        <v>38</v>
      </c>
      <c r="K264">
        <v>1</v>
      </c>
      <c r="L264">
        <v>0</v>
      </c>
      <c r="M264">
        <v>10</v>
      </c>
      <c r="N264">
        <v>48</v>
      </c>
      <c r="O264" t="s">
        <v>24</v>
      </c>
      <c r="P264" t="s">
        <v>25</v>
      </c>
    </row>
    <row r="265" spans="1:16" x14ac:dyDescent="0.25">
      <c r="A265" t="s">
        <v>1137</v>
      </c>
      <c r="B265" t="s">
        <v>82</v>
      </c>
      <c r="C265" t="s">
        <v>43</v>
      </c>
      <c r="D265" t="s">
        <v>173</v>
      </c>
      <c r="E265" t="s">
        <v>1138</v>
      </c>
      <c r="F265" t="s">
        <v>53</v>
      </c>
      <c r="G265" t="s">
        <v>511</v>
      </c>
      <c r="H265" t="s">
        <v>512</v>
      </c>
      <c r="I265">
        <v>3</v>
      </c>
      <c r="J265">
        <v>120</v>
      </c>
      <c r="K265">
        <v>1.25</v>
      </c>
      <c r="L265">
        <v>30</v>
      </c>
      <c r="M265">
        <v>10</v>
      </c>
      <c r="N265">
        <v>160</v>
      </c>
      <c r="O265" t="s">
        <v>24</v>
      </c>
      <c r="P265" t="s">
        <v>25</v>
      </c>
    </row>
    <row r="266" spans="1:16" x14ac:dyDescent="0.25">
      <c r="A266" t="s">
        <v>1139</v>
      </c>
      <c r="B266" t="s">
        <v>88</v>
      </c>
      <c r="C266" t="s">
        <v>50</v>
      </c>
      <c r="D266" t="s">
        <v>179</v>
      </c>
      <c r="E266" t="s">
        <v>1140</v>
      </c>
      <c r="F266" t="s">
        <v>62</v>
      </c>
      <c r="G266" t="s">
        <v>1141</v>
      </c>
      <c r="H266" t="s">
        <v>1142</v>
      </c>
      <c r="I266">
        <v>1</v>
      </c>
      <c r="J266">
        <v>72</v>
      </c>
      <c r="K266">
        <v>1.25</v>
      </c>
      <c r="L266">
        <v>18</v>
      </c>
      <c r="M266">
        <v>10</v>
      </c>
      <c r="N266">
        <v>75</v>
      </c>
      <c r="O266" t="s">
        <v>24</v>
      </c>
      <c r="P266" t="s">
        <v>25</v>
      </c>
    </row>
    <row r="267" spans="1:16" x14ac:dyDescent="0.25">
      <c r="A267" t="s">
        <v>1143</v>
      </c>
      <c r="B267" t="s">
        <v>94</v>
      </c>
      <c r="C267" t="s">
        <v>18</v>
      </c>
      <c r="D267" t="s">
        <v>185</v>
      </c>
      <c r="E267" t="s">
        <v>1144</v>
      </c>
      <c r="F267" t="s">
        <v>21</v>
      </c>
      <c r="G267" t="s">
        <v>1145</v>
      </c>
      <c r="H267" t="s">
        <v>1146</v>
      </c>
      <c r="I267">
        <v>1.5</v>
      </c>
      <c r="J267">
        <v>75</v>
      </c>
      <c r="K267">
        <v>1</v>
      </c>
      <c r="L267">
        <v>0</v>
      </c>
      <c r="M267">
        <v>10</v>
      </c>
      <c r="N267">
        <v>85</v>
      </c>
      <c r="O267" t="s">
        <v>56</v>
      </c>
      <c r="P267" t="s">
        <v>57</v>
      </c>
    </row>
    <row r="268" spans="1:16" x14ac:dyDescent="0.25">
      <c r="A268" t="s">
        <v>1147</v>
      </c>
      <c r="B268" t="s">
        <v>100</v>
      </c>
      <c r="C268" t="s">
        <v>28</v>
      </c>
      <c r="D268" t="s">
        <v>191</v>
      </c>
      <c r="E268" t="s">
        <v>1148</v>
      </c>
      <c r="F268" t="s">
        <v>21</v>
      </c>
      <c r="G268" t="s">
        <v>524</v>
      </c>
      <c r="H268" t="s">
        <v>525</v>
      </c>
      <c r="I268">
        <v>2</v>
      </c>
      <c r="J268">
        <v>120</v>
      </c>
      <c r="K268">
        <v>1.25</v>
      </c>
      <c r="L268">
        <v>30</v>
      </c>
      <c r="M268">
        <v>10</v>
      </c>
      <c r="N268">
        <v>160</v>
      </c>
      <c r="O268" t="s">
        <v>65</v>
      </c>
      <c r="P268" t="s">
        <v>25</v>
      </c>
    </row>
    <row r="269" spans="1:16" x14ac:dyDescent="0.25">
      <c r="A269" t="s">
        <v>1149</v>
      </c>
      <c r="B269" t="s">
        <v>106</v>
      </c>
      <c r="C269" t="s">
        <v>35</v>
      </c>
      <c r="D269" t="s">
        <v>197</v>
      </c>
      <c r="E269" t="s">
        <v>1150</v>
      </c>
      <c r="F269" t="s">
        <v>21</v>
      </c>
      <c r="G269" t="s">
        <v>528</v>
      </c>
      <c r="H269" t="s">
        <v>529</v>
      </c>
      <c r="I269">
        <v>2.5</v>
      </c>
      <c r="J269">
        <v>88</v>
      </c>
      <c r="K269">
        <v>1.25</v>
      </c>
      <c r="L269">
        <v>22</v>
      </c>
      <c r="M269">
        <v>10</v>
      </c>
      <c r="N269">
        <v>120</v>
      </c>
      <c r="O269" t="s">
        <v>72</v>
      </c>
      <c r="P269" t="s">
        <v>73</v>
      </c>
    </row>
    <row r="270" spans="1:16" x14ac:dyDescent="0.25">
      <c r="A270" t="s">
        <v>1151</v>
      </c>
      <c r="B270" t="s">
        <v>112</v>
      </c>
      <c r="C270" t="s">
        <v>43</v>
      </c>
      <c r="D270" t="s">
        <v>203</v>
      </c>
      <c r="E270" t="s">
        <v>1152</v>
      </c>
      <c r="F270" t="s">
        <v>38</v>
      </c>
      <c r="G270" t="s">
        <v>1153</v>
      </c>
      <c r="H270" t="s">
        <v>1154</v>
      </c>
      <c r="I270">
        <v>3</v>
      </c>
      <c r="J270">
        <v>30</v>
      </c>
      <c r="K270">
        <v>1.25</v>
      </c>
      <c r="L270">
        <v>8</v>
      </c>
      <c r="M270">
        <v>10</v>
      </c>
      <c r="N270">
        <v>48</v>
      </c>
      <c r="O270" t="s">
        <v>80</v>
      </c>
      <c r="P270" t="s">
        <v>25</v>
      </c>
    </row>
    <row r="271" spans="1:16" x14ac:dyDescent="0.25">
      <c r="A271" t="s">
        <v>1155</v>
      </c>
      <c r="B271" t="s">
        <v>118</v>
      </c>
      <c r="C271" t="s">
        <v>50</v>
      </c>
      <c r="D271" t="s">
        <v>209</v>
      </c>
      <c r="E271" t="s">
        <v>1156</v>
      </c>
      <c r="F271" t="s">
        <v>38</v>
      </c>
      <c r="G271" t="s">
        <v>536</v>
      </c>
      <c r="H271" t="s">
        <v>537</v>
      </c>
      <c r="I271">
        <v>1</v>
      </c>
      <c r="J271">
        <v>20</v>
      </c>
      <c r="K271">
        <v>1.25</v>
      </c>
      <c r="L271">
        <v>5</v>
      </c>
      <c r="M271">
        <v>10</v>
      </c>
      <c r="N271">
        <v>35</v>
      </c>
      <c r="O271" t="s">
        <v>24</v>
      </c>
      <c r="P271" t="s">
        <v>25</v>
      </c>
    </row>
    <row r="272" spans="1:16" x14ac:dyDescent="0.25">
      <c r="A272" t="s">
        <v>1157</v>
      </c>
      <c r="B272" t="s">
        <v>124</v>
      </c>
      <c r="C272" t="s">
        <v>18</v>
      </c>
      <c r="D272" t="s">
        <v>215</v>
      </c>
      <c r="E272" t="s">
        <v>1158</v>
      </c>
      <c r="F272" t="s">
        <v>53</v>
      </c>
      <c r="G272" t="s">
        <v>1159</v>
      </c>
      <c r="H272" t="s">
        <v>1160</v>
      </c>
      <c r="I272">
        <v>1.5</v>
      </c>
      <c r="J272">
        <v>90</v>
      </c>
      <c r="K272">
        <v>1.25</v>
      </c>
      <c r="L272">
        <v>23</v>
      </c>
      <c r="M272">
        <v>10</v>
      </c>
      <c r="N272">
        <v>123</v>
      </c>
      <c r="O272" t="s">
        <v>24</v>
      </c>
      <c r="P272" t="s">
        <v>25</v>
      </c>
    </row>
    <row r="273" spans="1:16" x14ac:dyDescent="0.25">
      <c r="A273" t="s">
        <v>1161</v>
      </c>
      <c r="B273" t="s">
        <v>130</v>
      </c>
      <c r="C273" t="s">
        <v>28</v>
      </c>
      <c r="D273" t="s">
        <v>221</v>
      </c>
      <c r="E273" t="s">
        <v>1162</v>
      </c>
      <c r="F273" t="s">
        <v>62</v>
      </c>
      <c r="G273" t="s">
        <v>544</v>
      </c>
      <c r="H273" t="s">
        <v>545</v>
      </c>
      <c r="I273">
        <v>2</v>
      </c>
      <c r="J273">
        <v>216</v>
      </c>
      <c r="K273">
        <v>1.25</v>
      </c>
      <c r="L273">
        <v>54</v>
      </c>
      <c r="M273">
        <v>10</v>
      </c>
      <c r="N273">
        <v>280</v>
      </c>
      <c r="O273" t="s">
        <v>24</v>
      </c>
      <c r="P273" t="s">
        <v>25</v>
      </c>
    </row>
    <row r="274" spans="1:16" x14ac:dyDescent="0.25">
      <c r="A274" t="s">
        <v>1163</v>
      </c>
      <c r="B274" t="s">
        <v>136</v>
      </c>
      <c r="C274" t="s">
        <v>35</v>
      </c>
      <c r="D274" t="s">
        <v>227</v>
      </c>
      <c r="E274" t="s">
        <v>1164</v>
      </c>
      <c r="F274" t="s">
        <v>21</v>
      </c>
      <c r="G274" t="s">
        <v>548</v>
      </c>
      <c r="H274" t="s">
        <v>549</v>
      </c>
      <c r="I274">
        <v>2.5</v>
      </c>
      <c r="J274">
        <v>88</v>
      </c>
      <c r="K274">
        <v>1.25</v>
      </c>
      <c r="L274">
        <v>22</v>
      </c>
      <c r="M274">
        <v>10</v>
      </c>
      <c r="N274">
        <v>120</v>
      </c>
      <c r="O274" t="s">
        <v>24</v>
      </c>
      <c r="P274" t="s">
        <v>25</v>
      </c>
    </row>
    <row r="275" spans="1:16" x14ac:dyDescent="0.25">
      <c r="A275" t="s">
        <v>1165</v>
      </c>
      <c r="B275" t="s">
        <v>142</v>
      </c>
      <c r="C275" t="s">
        <v>43</v>
      </c>
      <c r="D275" t="s">
        <v>233</v>
      </c>
      <c r="E275" t="s">
        <v>1166</v>
      </c>
      <c r="F275" t="s">
        <v>21</v>
      </c>
      <c r="G275" t="s">
        <v>1167</v>
      </c>
      <c r="H275" t="s">
        <v>1168</v>
      </c>
      <c r="I275">
        <v>3</v>
      </c>
      <c r="J275">
        <v>90</v>
      </c>
      <c r="K275">
        <v>1.25</v>
      </c>
      <c r="L275">
        <v>23</v>
      </c>
      <c r="M275">
        <v>10</v>
      </c>
      <c r="N275">
        <v>123</v>
      </c>
      <c r="O275" t="s">
        <v>24</v>
      </c>
      <c r="P275" t="s">
        <v>25</v>
      </c>
    </row>
    <row r="276" spans="1:16" x14ac:dyDescent="0.25">
      <c r="A276" t="s">
        <v>1169</v>
      </c>
      <c r="B276" t="s">
        <v>148</v>
      </c>
      <c r="C276" t="s">
        <v>50</v>
      </c>
      <c r="D276" t="s">
        <v>239</v>
      </c>
      <c r="E276" t="s">
        <v>1170</v>
      </c>
      <c r="F276" t="s">
        <v>21</v>
      </c>
      <c r="G276" t="s">
        <v>1171</v>
      </c>
      <c r="H276" t="s">
        <v>1172</v>
      </c>
      <c r="I276">
        <v>1</v>
      </c>
      <c r="J276">
        <v>40</v>
      </c>
      <c r="K276">
        <v>1.25</v>
      </c>
      <c r="L276">
        <v>10</v>
      </c>
      <c r="M276">
        <v>10</v>
      </c>
      <c r="N276">
        <v>60</v>
      </c>
      <c r="O276" t="s">
        <v>56</v>
      </c>
      <c r="P276" t="s">
        <v>57</v>
      </c>
    </row>
    <row r="277" spans="1:16" x14ac:dyDescent="0.25">
      <c r="A277" t="s">
        <v>1173</v>
      </c>
      <c r="B277" t="s">
        <v>154</v>
      </c>
      <c r="C277" t="s">
        <v>18</v>
      </c>
      <c r="D277" t="s">
        <v>245</v>
      </c>
      <c r="E277" t="s">
        <v>1174</v>
      </c>
      <c r="F277" t="s">
        <v>38</v>
      </c>
      <c r="G277" t="s">
        <v>560</v>
      </c>
      <c r="H277" t="s">
        <v>561</v>
      </c>
      <c r="I277">
        <v>1.5</v>
      </c>
      <c r="J277">
        <v>38</v>
      </c>
      <c r="K277">
        <v>1.25</v>
      </c>
      <c r="L277">
        <v>10</v>
      </c>
      <c r="M277">
        <v>10</v>
      </c>
      <c r="N277">
        <v>58</v>
      </c>
      <c r="O277" t="s">
        <v>65</v>
      </c>
      <c r="P277" t="s">
        <v>25</v>
      </c>
    </row>
    <row r="278" spans="1:16" x14ac:dyDescent="0.25">
      <c r="A278" t="s">
        <v>1175</v>
      </c>
      <c r="B278" t="s">
        <v>160</v>
      </c>
      <c r="C278" t="s">
        <v>28</v>
      </c>
      <c r="D278" t="s">
        <v>251</v>
      </c>
      <c r="E278" t="s">
        <v>1176</v>
      </c>
      <c r="F278" t="s">
        <v>38</v>
      </c>
      <c r="G278" t="s">
        <v>1177</v>
      </c>
      <c r="H278" t="s">
        <v>1178</v>
      </c>
      <c r="I278">
        <v>2</v>
      </c>
      <c r="J278">
        <v>60</v>
      </c>
      <c r="K278">
        <v>1</v>
      </c>
      <c r="L278">
        <v>0</v>
      </c>
      <c r="M278">
        <v>10</v>
      </c>
      <c r="N278">
        <v>70</v>
      </c>
      <c r="O278" t="s">
        <v>72</v>
      </c>
      <c r="P278" t="s">
        <v>73</v>
      </c>
    </row>
    <row r="279" spans="1:16" x14ac:dyDescent="0.25">
      <c r="A279" t="s">
        <v>1179</v>
      </c>
      <c r="B279" t="s">
        <v>166</v>
      </c>
      <c r="C279" t="s">
        <v>35</v>
      </c>
      <c r="D279" t="s">
        <v>257</v>
      </c>
      <c r="E279" t="s">
        <v>1180</v>
      </c>
      <c r="F279" t="s">
        <v>53</v>
      </c>
      <c r="G279" t="s">
        <v>1181</v>
      </c>
      <c r="H279" t="s">
        <v>1182</v>
      </c>
      <c r="I279">
        <v>2.5</v>
      </c>
      <c r="J279">
        <v>113</v>
      </c>
      <c r="K279">
        <v>1</v>
      </c>
      <c r="L279">
        <v>0</v>
      </c>
      <c r="M279">
        <v>10</v>
      </c>
      <c r="N279">
        <v>123</v>
      </c>
      <c r="O279" t="s">
        <v>80</v>
      </c>
      <c r="P279" t="s">
        <v>25</v>
      </c>
    </row>
    <row r="280" spans="1:16" x14ac:dyDescent="0.25">
      <c r="A280" t="s">
        <v>1183</v>
      </c>
      <c r="B280" t="s">
        <v>172</v>
      </c>
      <c r="C280" t="s">
        <v>43</v>
      </c>
      <c r="D280" t="s">
        <v>263</v>
      </c>
      <c r="E280" t="s">
        <v>1184</v>
      </c>
      <c r="F280" t="s">
        <v>62</v>
      </c>
      <c r="G280" t="s">
        <v>572</v>
      </c>
      <c r="H280" t="s">
        <v>573</v>
      </c>
      <c r="I280">
        <v>3</v>
      </c>
      <c r="J280">
        <v>162</v>
      </c>
      <c r="K280">
        <v>1.25</v>
      </c>
      <c r="L280">
        <v>41</v>
      </c>
      <c r="M280">
        <v>10</v>
      </c>
      <c r="N280">
        <v>213</v>
      </c>
      <c r="O280" t="s">
        <v>24</v>
      </c>
      <c r="P280" t="s">
        <v>25</v>
      </c>
    </row>
    <row r="281" spans="1:16" x14ac:dyDescent="0.25">
      <c r="A281" t="s">
        <v>1185</v>
      </c>
      <c r="B281" t="s">
        <v>178</v>
      </c>
      <c r="C281" t="s">
        <v>50</v>
      </c>
      <c r="D281" t="s">
        <v>269</v>
      </c>
      <c r="E281" t="s">
        <v>1186</v>
      </c>
      <c r="F281" t="s">
        <v>21</v>
      </c>
      <c r="G281" t="s">
        <v>576</v>
      </c>
      <c r="H281" t="s">
        <v>577</v>
      </c>
      <c r="I281">
        <v>1</v>
      </c>
      <c r="J281">
        <v>40</v>
      </c>
      <c r="K281">
        <v>1.25</v>
      </c>
      <c r="L281">
        <v>10</v>
      </c>
      <c r="M281">
        <v>10</v>
      </c>
      <c r="N281">
        <v>35</v>
      </c>
      <c r="O281" t="s">
        <v>24</v>
      </c>
      <c r="P281" t="s">
        <v>25</v>
      </c>
    </row>
    <row r="282" spans="1:16" x14ac:dyDescent="0.25">
      <c r="A282" t="s">
        <v>1187</v>
      </c>
      <c r="B282" t="s">
        <v>184</v>
      </c>
      <c r="C282" t="s">
        <v>18</v>
      </c>
      <c r="D282" t="s">
        <v>275</v>
      </c>
      <c r="E282" t="s">
        <v>1188</v>
      </c>
      <c r="F282" t="s">
        <v>21</v>
      </c>
      <c r="G282" t="s">
        <v>1189</v>
      </c>
      <c r="H282" t="s">
        <v>1190</v>
      </c>
      <c r="I282">
        <v>1.5</v>
      </c>
      <c r="J282">
        <v>75</v>
      </c>
      <c r="K282">
        <v>1</v>
      </c>
      <c r="L282">
        <v>0</v>
      </c>
      <c r="M282">
        <v>10</v>
      </c>
      <c r="N282">
        <v>85</v>
      </c>
      <c r="O282" t="s">
        <v>24</v>
      </c>
      <c r="P282" t="s">
        <v>25</v>
      </c>
    </row>
    <row r="283" spans="1:16" x14ac:dyDescent="0.25">
      <c r="A283" t="s">
        <v>1191</v>
      </c>
      <c r="B283" t="s">
        <v>190</v>
      </c>
      <c r="C283" t="s">
        <v>28</v>
      </c>
      <c r="D283" t="s">
        <v>281</v>
      </c>
      <c r="E283" t="s">
        <v>1192</v>
      </c>
      <c r="F283" t="s">
        <v>21</v>
      </c>
      <c r="G283" t="s">
        <v>584</v>
      </c>
      <c r="H283" t="s">
        <v>585</v>
      </c>
      <c r="I283">
        <v>2</v>
      </c>
      <c r="J283">
        <v>120</v>
      </c>
      <c r="K283">
        <v>1.25</v>
      </c>
      <c r="L283">
        <v>30</v>
      </c>
      <c r="M283">
        <v>10</v>
      </c>
      <c r="N283">
        <v>160</v>
      </c>
      <c r="O283" t="s">
        <v>24</v>
      </c>
      <c r="P283" t="s">
        <v>25</v>
      </c>
    </row>
    <row r="284" spans="1:16" x14ac:dyDescent="0.25">
      <c r="A284" t="s">
        <v>1193</v>
      </c>
      <c r="B284" t="s">
        <v>196</v>
      </c>
      <c r="C284" t="s">
        <v>35</v>
      </c>
      <c r="D284" t="s">
        <v>287</v>
      </c>
      <c r="E284" t="s">
        <v>1194</v>
      </c>
      <c r="F284" t="s">
        <v>38</v>
      </c>
      <c r="G284" t="s">
        <v>1195</v>
      </c>
      <c r="H284" t="s">
        <v>1196</v>
      </c>
      <c r="I284">
        <v>2.5</v>
      </c>
      <c r="J284">
        <v>38</v>
      </c>
      <c r="K284">
        <v>1.25</v>
      </c>
      <c r="L284">
        <v>10</v>
      </c>
      <c r="M284">
        <v>10</v>
      </c>
      <c r="N284">
        <v>58</v>
      </c>
      <c r="O284" t="s">
        <v>24</v>
      </c>
      <c r="P284" t="s">
        <v>25</v>
      </c>
    </row>
    <row r="285" spans="1:16" x14ac:dyDescent="0.25">
      <c r="A285" t="s">
        <v>1197</v>
      </c>
      <c r="B285" t="s">
        <v>202</v>
      </c>
      <c r="C285" t="s">
        <v>43</v>
      </c>
      <c r="D285" t="s">
        <v>293</v>
      </c>
      <c r="E285" t="s">
        <v>1198</v>
      </c>
      <c r="F285" t="s">
        <v>38</v>
      </c>
      <c r="G285" t="s">
        <v>591</v>
      </c>
      <c r="H285" t="s">
        <v>592</v>
      </c>
      <c r="I285">
        <v>3</v>
      </c>
      <c r="J285">
        <v>30</v>
      </c>
      <c r="K285">
        <v>1.25</v>
      </c>
      <c r="L285">
        <v>8</v>
      </c>
      <c r="M285">
        <v>10</v>
      </c>
      <c r="N285">
        <v>48</v>
      </c>
      <c r="O285" t="s">
        <v>56</v>
      </c>
      <c r="P285" t="s">
        <v>57</v>
      </c>
    </row>
    <row r="286" spans="1:16" x14ac:dyDescent="0.25">
      <c r="A286" t="s">
        <v>1199</v>
      </c>
      <c r="B286" t="s">
        <v>208</v>
      </c>
      <c r="C286" t="s">
        <v>50</v>
      </c>
      <c r="D286" t="s">
        <v>299</v>
      </c>
      <c r="E286" t="s">
        <v>1200</v>
      </c>
      <c r="F286" t="s">
        <v>53</v>
      </c>
      <c r="G286" t="s">
        <v>595</v>
      </c>
      <c r="H286" t="s">
        <v>1201</v>
      </c>
      <c r="I286">
        <v>1</v>
      </c>
      <c r="J286">
        <v>50</v>
      </c>
      <c r="K286">
        <v>1.25</v>
      </c>
      <c r="L286">
        <v>13</v>
      </c>
      <c r="M286">
        <v>10</v>
      </c>
      <c r="N286">
        <v>48</v>
      </c>
      <c r="O286" t="s">
        <v>65</v>
      </c>
      <c r="P286" t="s">
        <v>25</v>
      </c>
    </row>
    <row r="287" spans="1:16" x14ac:dyDescent="0.25">
      <c r="A287" t="s">
        <v>1202</v>
      </c>
      <c r="B287" t="s">
        <v>214</v>
      </c>
      <c r="C287" t="s">
        <v>18</v>
      </c>
      <c r="D287" t="s">
        <v>305</v>
      </c>
      <c r="E287" t="s">
        <v>1203</v>
      </c>
      <c r="F287" t="s">
        <v>62</v>
      </c>
      <c r="G287" t="s">
        <v>1204</v>
      </c>
      <c r="H287" t="s">
        <v>1205</v>
      </c>
      <c r="I287">
        <v>1.5</v>
      </c>
      <c r="J287">
        <v>135</v>
      </c>
      <c r="K287">
        <v>1.25</v>
      </c>
      <c r="L287">
        <v>34</v>
      </c>
      <c r="M287">
        <v>10</v>
      </c>
      <c r="N287">
        <v>179</v>
      </c>
      <c r="O287" t="s">
        <v>72</v>
      </c>
      <c r="P287" t="s">
        <v>73</v>
      </c>
    </row>
    <row r="288" spans="1:16" x14ac:dyDescent="0.25">
      <c r="A288" t="s">
        <v>1206</v>
      </c>
      <c r="B288" t="s">
        <v>220</v>
      </c>
      <c r="C288" t="s">
        <v>28</v>
      </c>
      <c r="D288" t="s">
        <v>311</v>
      </c>
      <c r="E288" t="s">
        <v>1207</v>
      </c>
      <c r="F288" t="s">
        <v>21</v>
      </c>
      <c r="G288" t="s">
        <v>1208</v>
      </c>
      <c r="H288" t="s">
        <v>1209</v>
      </c>
      <c r="I288">
        <v>2</v>
      </c>
      <c r="J288">
        <v>120</v>
      </c>
      <c r="K288">
        <v>1</v>
      </c>
      <c r="L288">
        <v>0</v>
      </c>
      <c r="M288">
        <v>10</v>
      </c>
      <c r="N288">
        <v>130</v>
      </c>
      <c r="O288" t="s">
        <v>80</v>
      </c>
      <c r="P288" t="s">
        <v>25</v>
      </c>
    </row>
    <row r="289" spans="1:16" x14ac:dyDescent="0.25">
      <c r="A289" t="s">
        <v>1210</v>
      </c>
      <c r="B289" t="s">
        <v>226</v>
      </c>
      <c r="C289" t="s">
        <v>35</v>
      </c>
      <c r="D289" t="s">
        <v>317</v>
      </c>
      <c r="E289" t="s">
        <v>1211</v>
      </c>
      <c r="F289" t="s">
        <v>21</v>
      </c>
      <c r="G289" t="s">
        <v>607</v>
      </c>
      <c r="H289" t="s">
        <v>608</v>
      </c>
      <c r="I289">
        <v>2.5</v>
      </c>
      <c r="J289">
        <v>88</v>
      </c>
      <c r="K289">
        <v>1.25</v>
      </c>
      <c r="L289">
        <v>22</v>
      </c>
      <c r="M289">
        <v>10</v>
      </c>
      <c r="N289">
        <v>120</v>
      </c>
      <c r="O289" t="s">
        <v>24</v>
      </c>
      <c r="P289" t="s">
        <v>25</v>
      </c>
    </row>
    <row r="290" spans="1:16" x14ac:dyDescent="0.25">
      <c r="A290" t="s">
        <v>1212</v>
      </c>
      <c r="B290" t="s">
        <v>232</v>
      </c>
      <c r="C290" t="s">
        <v>43</v>
      </c>
      <c r="D290" t="s">
        <v>323</v>
      </c>
      <c r="E290" t="s">
        <v>1213</v>
      </c>
      <c r="F290" t="s">
        <v>21</v>
      </c>
      <c r="G290" t="s">
        <v>1214</v>
      </c>
      <c r="H290" t="s">
        <v>1215</v>
      </c>
      <c r="I290">
        <v>3</v>
      </c>
      <c r="J290">
        <v>90</v>
      </c>
      <c r="K290">
        <v>1.25</v>
      </c>
      <c r="L290">
        <v>23</v>
      </c>
      <c r="M290">
        <v>10</v>
      </c>
      <c r="N290">
        <v>123</v>
      </c>
      <c r="O290" t="s">
        <v>24</v>
      </c>
      <c r="P290" t="s">
        <v>25</v>
      </c>
    </row>
    <row r="291" spans="1:16" x14ac:dyDescent="0.25">
      <c r="A291" t="s">
        <v>1216</v>
      </c>
      <c r="B291" t="s">
        <v>238</v>
      </c>
      <c r="C291" t="s">
        <v>50</v>
      </c>
      <c r="D291" t="s">
        <v>329</v>
      </c>
      <c r="E291" t="s">
        <v>1217</v>
      </c>
      <c r="F291" t="s">
        <v>38</v>
      </c>
      <c r="G291" t="s">
        <v>1218</v>
      </c>
      <c r="H291" t="s">
        <v>1219</v>
      </c>
      <c r="I291">
        <v>1</v>
      </c>
      <c r="J291">
        <v>20</v>
      </c>
      <c r="K291">
        <v>1</v>
      </c>
      <c r="L291">
        <v>0</v>
      </c>
      <c r="M291">
        <v>10</v>
      </c>
      <c r="N291">
        <v>30</v>
      </c>
      <c r="O291" t="s">
        <v>24</v>
      </c>
      <c r="P291" t="s">
        <v>25</v>
      </c>
    </row>
    <row r="292" spans="1:16" x14ac:dyDescent="0.25">
      <c r="A292" t="s">
        <v>1220</v>
      </c>
      <c r="B292" t="s">
        <v>244</v>
      </c>
      <c r="C292" t="s">
        <v>18</v>
      </c>
      <c r="D292" t="s">
        <v>335</v>
      </c>
      <c r="E292" t="s">
        <v>1221</v>
      </c>
      <c r="F292" t="s">
        <v>38</v>
      </c>
      <c r="G292" t="s">
        <v>619</v>
      </c>
      <c r="H292" t="s">
        <v>620</v>
      </c>
      <c r="I292">
        <v>1.5</v>
      </c>
      <c r="J292">
        <v>38</v>
      </c>
      <c r="K292">
        <v>1.25</v>
      </c>
      <c r="L292">
        <v>10</v>
      </c>
      <c r="M292">
        <v>10</v>
      </c>
      <c r="N292">
        <v>58</v>
      </c>
      <c r="O292" t="s">
        <v>24</v>
      </c>
      <c r="P292" t="s">
        <v>25</v>
      </c>
    </row>
    <row r="293" spans="1:16" x14ac:dyDescent="0.25">
      <c r="A293" t="s">
        <v>1222</v>
      </c>
      <c r="B293" t="s">
        <v>250</v>
      </c>
      <c r="C293" t="s">
        <v>28</v>
      </c>
      <c r="D293" t="s">
        <v>341</v>
      </c>
      <c r="E293" t="s">
        <v>1223</v>
      </c>
      <c r="F293" t="s">
        <v>53</v>
      </c>
      <c r="G293" t="s">
        <v>623</v>
      </c>
      <c r="H293" t="s">
        <v>624</v>
      </c>
      <c r="I293">
        <v>2</v>
      </c>
      <c r="J293">
        <v>140</v>
      </c>
      <c r="K293">
        <v>1.25</v>
      </c>
      <c r="L293">
        <v>35</v>
      </c>
      <c r="M293">
        <v>10</v>
      </c>
      <c r="N293">
        <v>185</v>
      </c>
      <c r="O293" t="s">
        <v>24</v>
      </c>
      <c r="P293" t="s">
        <v>25</v>
      </c>
    </row>
    <row r="294" spans="1:16" x14ac:dyDescent="0.25">
      <c r="A294" t="s">
        <v>1224</v>
      </c>
      <c r="B294" t="s">
        <v>256</v>
      </c>
      <c r="C294" t="s">
        <v>35</v>
      </c>
      <c r="D294" t="s">
        <v>347</v>
      </c>
      <c r="E294" t="s">
        <v>1225</v>
      </c>
      <c r="F294" t="s">
        <v>62</v>
      </c>
      <c r="G294" t="s">
        <v>957</v>
      </c>
      <c r="H294" t="s">
        <v>1226</v>
      </c>
      <c r="I294">
        <v>2.5</v>
      </c>
      <c r="J294">
        <v>158</v>
      </c>
      <c r="K294">
        <v>1.25</v>
      </c>
      <c r="L294">
        <v>40</v>
      </c>
      <c r="M294">
        <v>10</v>
      </c>
      <c r="N294">
        <v>208</v>
      </c>
      <c r="O294" t="s">
        <v>56</v>
      </c>
      <c r="P294" t="s">
        <v>57</v>
      </c>
    </row>
    <row r="295" spans="1:16" x14ac:dyDescent="0.25">
      <c r="A295" t="s">
        <v>1227</v>
      </c>
      <c r="B295" t="s">
        <v>262</v>
      </c>
      <c r="C295" t="s">
        <v>43</v>
      </c>
      <c r="D295" t="s">
        <v>353</v>
      </c>
      <c r="E295" t="s">
        <v>1228</v>
      </c>
      <c r="F295" t="s">
        <v>21</v>
      </c>
      <c r="G295" t="s">
        <v>630</v>
      </c>
      <c r="H295" t="s">
        <v>631</v>
      </c>
      <c r="I295">
        <v>3</v>
      </c>
      <c r="J295">
        <v>90</v>
      </c>
      <c r="K295">
        <v>1.25</v>
      </c>
      <c r="L295">
        <v>23</v>
      </c>
      <c r="M295">
        <v>10</v>
      </c>
      <c r="N295">
        <v>123</v>
      </c>
      <c r="O295" t="s">
        <v>65</v>
      </c>
      <c r="P295" t="s">
        <v>25</v>
      </c>
    </row>
    <row r="296" spans="1:16" x14ac:dyDescent="0.25">
      <c r="A296" t="s">
        <v>1229</v>
      </c>
      <c r="B296" t="s">
        <v>268</v>
      </c>
      <c r="C296" t="s">
        <v>50</v>
      </c>
      <c r="D296" t="s">
        <v>359</v>
      </c>
      <c r="E296" t="s">
        <v>1230</v>
      </c>
      <c r="F296" t="s">
        <v>21</v>
      </c>
      <c r="G296" t="s">
        <v>1231</v>
      </c>
      <c r="H296" t="s">
        <v>1232</v>
      </c>
      <c r="I296">
        <v>1</v>
      </c>
      <c r="J296">
        <v>40</v>
      </c>
      <c r="K296">
        <v>1</v>
      </c>
      <c r="L296">
        <v>0</v>
      </c>
      <c r="M296">
        <v>10</v>
      </c>
      <c r="N296">
        <v>25</v>
      </c>
      <c r="O296" t="s">
        <v>72</v>
      </c>
      <c r="P296" t="s">
        <v>73</v>
      </c>
    </row>
    <row r="297" spans="1:16" x14ac:dyDescent="0.25">
      <c r="A297" t="s">
        <v>1233</v>
      </c>
      <c r="B297" t="s">
        <v>274</v>
      </c>
      <c r="C297" t="s">
        <v>18</v>
      </c>
      <c r="D297" t="s">
        <v>365</v>
      </c>
      <c r="E297" t="s">
        <v>1234</v>
      </c>
      <c r="F297" t="s">
        <v>21</v>
      </c>
      <c r="G297" t="s">
        <v>638</v>
      </c>
      <c r="H297" t="s">
        <v>639</v>
      </c>
      <c r="I297">
        <v>1.5</v>
      </c>
      <c r="J297">
        <v>75</v>
      </c>
      <c r="K297">
        <v>1.25</v>
      </c>
      <c r="L297">
        <v>19</v>
      </c>
      <c r="M297">
        <v>10</v>
      </c>
      <c r="N297">
        <v>104</v>
      </c>
      <c r="O297" t="s">
        <v>80</v>
      </c>
      <c r="P297" t="s">
        <v>25</v>
      </c>
    </row>
    <row r="298" spans="1:16" x14ac:dyDescent="0.25">
      <c r="A298" t="s">
        <v>1235</v>
      </c>
      <c r="B298" t="s">
        <v>280</v>
      </c>
      <c r="C298" t="s">
        <v>28</v>
      </c>
      <c r="D298" t="s">
        <v>371</v>
      </c>
      <c r="E298" t="s">
        <v>1236</v>
      </c>
      <c r="F298" t="s">
        <v>38</v>
      </c>
      <c r="G298" t="s">
        <v>642</v>
      </c>
      <c r="H298" t="s">
        <v>643</v>
      </c>
      <c r="I298">
        <v>2</v>
      </c>
      <c r="J298">
        <v>60</v>
      </c>
      <c r="K298">
        <v>1.25</v>
      </c>
      <c r="L298">
        <v>15</v>
      </c>
      <c r="M298">
        <v>10</v>
      </c>
      <c r="N298">
        <v>85</v>
      </c>
      <c r="O298" t="s">
        <v>24</v>
      </c>
      <c r="P298" t="s">
        <v>25</v>
      </c>
    </row>
    <row r="299" spans="1:16" x14ac:dyDescent="0.25">
      <c r="A299" t="s">
        <v>1237</v>
      </c>
      <c r="B299" t="s">
        <v>286</v>
      </c>
      <c r="C299" t="s">
        <v>35</v>
      </c>
      <c r="D299" t="s">
        <v>377</v>
      </c>
      <c r="E299" t="s">
        <v>1238</v>
      </c>
      <c r="F299" t="s">
        <v>38</v>
      </c>
      <c r="G299" t="s">
        <v>1239</v>
      </c>
      <c r="H299" t="s">
        <v>199</v>
      </c>
      <c r="I299">
        <v>2.5</v>
      </c>
      <c r="J299">
        <v>38</v>
      </c>
      <c r="K299">
        <v>1</v>
      </c>
      <c r="L299">
        <v>0</v>
      </c>
      <c r="M299">
        <v>10</v>
      </c>
      <c r="N299">
        <v>48</v>
      </c>
      <c r="O299" t="s">
        <v>24</v>
      </c>
      <c r="P299" t="s">
        <v>25</v>
      </c>
    </row>
    <row r="300" spans="1:16" x14ac:dyDescent="0.25">
      <c r="A300" t="s">
        <v>1240</v>
      </c>
      <c r="B300" t="s">
        <v>292</v>
      </c>
      <c r="C300" t="s">
        <v>43</v>
      </c>
      <c r="D300" t="s">
        <v>383</v>
      </c>
      <c r="E300" t="s">
        <v>1241</v>
      </c>
      <c r="F300" t="s">
        <v>53</v>
      </c>
      <c r="G300" t="s">
        <v>1242</v>
      </c>
      <c r="H300" t="s">
        <v>1243</v>
      </c>
      <c r="I300">
        <v>3</v>
      </c>
      <c r="J300">
        <v>120</v>
      </c>
      <c r="K300">
        <v>1.25</v>
      </c>
      <c r="L300">
        <v>30</v>
      </c>
      <c r="M300">
        <v>10</v>
      </c>
      <c r="N300">
        <v>160</v>
      </c>
      <c r="O300" t="s">
        <v>24</v>
      </c>
      <c r="P300" t="s">
        <v>25</v>
      </c>
    </row>
    <row r="301" spans="1:16" x14ac:dyDescent="0.25">
      <c r="A301" t="s">
        <v>1244</v>
      </c>
      <c r="B301" t="s">
        <v>298</v>
      </c>
      <c r="C301" t="s">
        <v>50</v>
      </c>
      <c r="D301" t="s">
        <v>389</v>
      </c>
      <c r="E301" t="s">
        <v>1245</v>
      </c>
      <c r="F301" t="s">
        <v>62</v>
      </c>
      <c r="G301" t="s">
        <v>654</v>
      </c>
      <c r="H301" t="s">
        <v>655</v>
      </c>
      <c r="I301">
        <v>1</v>
      </c>
      <c r="J301">
        <v>72</v>
      </c>
      <c r="K301">
        <v>1.25</v>
      </c>
      <c r="L301">
        <v>18</v>
      </c>
      <c r="M301">
        <v>10</v>
      </c>
      <c r="N301">
        <v>100</v>
      </c>
      <c r="O301" t="s">
        <v>24</v>
      </c>
      <c r="P301" t="s">
        <v>25</v>
      </c>
    </row>
    <row r="302" spans="1:16" x14ac:dyDescent="0.25">
      <c r="A302" t="s">
        <v>1246</v>
      </c>
      <c r="B302" t="s">
        <v>304</v>
      </c>
      <c r="C302" t="s">
        <v>18</v>
      </c>
      <c r="D302" t="s">
        <v>19</v>
      </c>
      <c r="E302" t="s">
        <v>1247</v>
      </c>
      <c r="F302" t="s">
        <v>21</v>
      </c>
      <c r="G302" t="s">
        <v>982</v>
      </c>
      <c r="H302" t="s">
        <v>1248</v>
      </c>
      <c r="I302">
        <v>1.5</v>
      </c>
      <c r="J302">
        <v>75</v>
      </c>
      <c r="K302">
        <v>1</v>
      </c>
      <c r="L302">
        <v>0</v>
      </c>
      <c r="M302">
        <v>10</v>
      </c>
      <c r="N302">
        <v>85</v>
      </c>
      <c r="O302" t="s">
        <v>24</v>
      </c>
      <c r="P302" t="s">
        <v>25</v>
      </c>
    </row>
    <row r="303" spans="1:16" x14ac:dyDescent="0.25">
      <c r="A303" t="s">
        <v>1249</v>
      </c>
      <c r="B303" t="s">
        <v>310</v>
      </c>
      <c r="C303" t="s">
        <v>28</v>
      </c>
      <c r="D303" t="s">
        <v>29</v>
      </c>
      <c r="E303" t="s">
        <v>1250</v>
      </c>
      <c r="F303" t="s">
        <v>21</v>
      </c>
      <c r="G303" t="s">
        <v>1251</v>
      </c>
      <c r="H303" t="s">
        <v>1252</v>
      </c>
      <c r="I303">
        <v>2</v>
      </c>
      <c r="J303">
        <v>120</v>
      </c>
      <c r="K303">
        <v>1.25</v>
      </c>
      <c r="L303">
        <v>30</v>
      </c>
      <c r="M303">
        <v>10</v>
      </c>
      <c r="N303">
        <v>160</v>
      </c>
      <c r="O303" t="s">
        <v>56</v>
      </c>
      <c r="P303" t="s">
        <v>57</v>
      </c>
    </row>
    <row r="304" spans="1:16" x14ac:dyDescent="0.25">
      <c r="A304" t="s">
        <v>1253</v>
      </c>
      <c r="B304" t="s">
        <v>316</v>
      </c>
      <c r="C304" t="s">
        <v>35</v>
      </c>
      <c r="D304" t="s">
        <v>36</v>
      </c>
      <c r="E304" t="s">
        <v>1254</v>
      </c>
      <c r="F304" t="s">
        <v>21</v>
      </c>
      <c r="G304" t="s">
        <v>665</v>
      </c>
      <c r="H304" t="s">
        <v>666</v>
      </c>
      <c r="I304">
        <v>2.5</v>
      </c>
      <c r="J304">
        <v>88</v>
      </c>
      <c r="K304">
        <v>1.25</v>
      </c>
      <c r="L304">
        <v>22</v>
      </c>
      <c r="M304">
        <v>10</v>
      </c>
      <c r="N304">
        <v>120</v>
      </c>
      <c r="O304" t="s">
        <v>65</v>
      </c>
      <c r="P304" t="s">
        <v>25</v>
      </c>
    </row>
    <row r="305" spans="1:16" x14ac:dyDescent="0.25">
      <c r="A305" t="s">
        <v>1255</v>
      </c>
      <c r="B305" t="s">
        <v>322</v>
      </c>
      <c r="C305" t="s">
        <v>43</v>
      </c>
      <c r="D305" t="s">
        <v>44</v>
      </c>
      <c r="E305" t="s">
        <v>1256</v>
      </c>
      <c r="F305" t="s">
        <v>38</v>
      </c>
      <c r="G305" t="s">
        <v>669</v>
      </c>
      <c r="H305" t="s">
        <v>670</v>
      </c>
      <c r="I305">
        <v>3</v>
      </c>
      <c r="J305">
        <v>30</v>
      </c>
      <c r="K305">
        <v>1.25</v>
      </c>
      <c r="L305">
        <v>8</v>
      </c>
      <c r="M305">
        <v>10</v>
      </c>
      <c r="N305">
        <v>48</v>
      </c>
      <c r="O305" t="s">
        <v>72</v>
      </c>
      <c r="P305" t="s">
        <v>73</v>
      </c>
    </row>
    <row r="306" spans="1:16" x14ac:dyDescent="0.25">
      <c r="A306" t="s">
        <v>1257</v>
      </c>
      <c r="B306" t="s">
        <v>328</v>
      </c>
      <c r="C306" t="s">
        <v>50</v>
      </c>
      <c r="D306" t="s">
        <v>51</v>
      </c>
      <c r="E306" t="s">
        <v>1258</v>
      </c>
      <c r="F306" t="s">
        <v>38</v>
      </c>
      <c r="G306" t="s">
        <v>1259</v>
      </c>
      <c r="H306" t="s">
        <v>1260</v>
      </c>
      <c r="I306">
        <v>1</v>
      </c>
      <c r="J306">
        <v>20</v>
      </c>
      <c r="K306">
        <v>1</v>
      </c>
      <c r="L306">
        <v>0</v>
      </c>
      <c r="M306">
        <v>10</v>
      </c>
      <c r="N306">
        <v>5</v>
      </c>
      <c r="O306" t="s">
        <v>80</v>
      </c>
      <c r="P306" t="s">
        <v>25</v>
      </c>
    </row>
    <row r="307" spans="1:16" x14ac:dyDescent="0.25">
      <c r="A307" t="s">
        <v>1261</v>
      </c>
      <c r="B307" t="s">
        <v>334</v>
      </c>
      <c r="C307" t="s">
        <v>18</v>
      </c>
      <c r="D307" t="s">
        <v>60</v>
      </c>
      <c r="E307" t="s">
        <v>1262</v>
      </c>
      <c r="F307" t="s">
        <v>53</v>
      </c>
      <c r="G307" t="s">
        <v>677</v>
      </c>
      <c r="H307" t="s">
        <v>678</v>
      </c>
      <c r="I307">
        <v>1.5</v>
      </c>
      <c r="J307">
        <v>90</v>
      </c>
      <c r="K307">
        <v>1.25</v>
      </c>
      <c r="L307">
        <v>23</v>
      </c>
      <c r="M307">
        <v>10</v>
      </c>
      <c r="N307">
        <v>123</v>
      </c>
      <c r="O307" t="s">
        <v>24</v>
      </c>
      <c r="P307" t="s">
        <v>25</v>
      </c>
    </row>
    <row r="308" spans="1:16" x14ac:dyDescent="0.25">
      <c r="A308" t="s">
        <v>1263</v>
      </c>
      <c r="B308" t="s">
        <v>340</v>
      </c>
      <c r="C308" t="s">
        <v>28</v>
      </c>
      <c r="D308" t="s">
        <v>68</v>
      </c>
      <c r="E308" t="s">
        <v>1264</v>
      </c>
      <c r="F308" t="s">
        <v>62</v>
      </c>
      <c r="G308" t="s">
        <v>1265</v>
      </c>
      <c r="H308" t="s">
        <v>1266</v>
      </c>
      <c r="I308">
        <v>2</v>
      </c>
      <c r="J308">
        <v>216</v>
      </c>
      <c r="K308">
        <v>1.25</v>
      </c>
      <c r="L308">
        <v>54</v>
      </c>
      <c r="M308">
        <v>10</v>
      </c>
      <c r="N308">
        <v>280</v>
      </c>
      <c r="O308" t="s">
        <v>24</v>
      </c>
      <c r="P308" t="s">
        <v>25</v>
      </c>
    </row>
    <row r="309" spans="1:16" x14ac:dyDescent="0.25">
      <c r="A309" t="s">
        <v>1267</v>
      </c>
      <c r="B309" t="s">
        <v>346</v>
      </c>
      <c r="C309" t="s">
        <v>35</v>
      </c>
      <c r="D309" t="s">
        <v>76</v>
      </c>
      <c r="E309" t="s">
        <v>1268</v>
      </c>
      <c r="F309" t="s">
        <v>21</v>
      </c>
      <c r="G309" t="s">
        <v>685</v>
      </c>
      <c r="H309" t="s">
        <v>686</v>
      </c>
      <c r="I309">
        <v>2.5</v>
      </c>
      <c r="J309">
        <v>88</v>
      </c>
      <c r="K309">
        <v>1.25</v>
      </c>
      <c r="L309">
        <v>22</v>
      </c>
      <c r="M309">
        <v>10</v>
      </c>
      <c r="N309">
        <v>120</v>
      </c>
      <c r="O309" t="s">
        <v>24</v>
      </c>
      <c r="P309" t="s">
        <v>25</v>
      </c>
    </row>
    <row r="310" spans="1:16" x14ac:dyDescent="0.25">
      <c r="A310" t="s">
        <v>1269</v>
      </c>
      <c r="B310" t="s">
        <v>352</v>
      </c>
      <c r="C310" t="s">
        <v>43</v>
      </c>
      <c r="D310" t="s">
        <v>83</v>
      </c>
      <c r="E310" t="s">
        <v>1270</v>
      </c>
      <c r="F310" t="s">
        <v>21</v>
      </c>
      <c r="G310" t="s">
        <v>689</v>
      </c>
      <c r="H310" t="s">
        <v>690</v>
      </c>
      <c r="I310">
        <v>3</v>
      </c>
      <c r="J310">
        <v>90</v>
      </c>
      <c r="K310">
        <v>1.25</v>
      </c>
      <c r="L310">
        <v>23</v>
      </c>
      <c r="M310">
        <v>10</v>
      </c>
      <c r="N310">
        <v>123</v>
      </c>
      <c r="O310" t="s">
        <v>24</v>
      </c>
      <c r="P310" t="s">
        <v>25</v>
      </c>
    </row>
    <row r="311" spans="1:16" x14ac:dyDescent="0.25">
      <c r="A311" t="s">
        <v>1271</v>
      </c>
      <c r="B311" t="s">
        <v>358</v>
      </c>
      <c r="C311" t="s">
        <v>50</v>
      </c>
      <c r="D311" t="s">
        <v>89</v>
      </c>
      <c r="E311" t="s">
        <v>1272</v>
      </c>
      <c r="F311" t="s">
        <v>21</v>
      </c>
      <c r="G311" t="s">
        <v>1273</v>
      </c>
      <c r="H311" t="s">
        <v>1274</v>
      </c>
      <c r="I311">
        <v>1</v>
      </c>
      <c r="J311">
        <v>40</v>
      </c>
      <c r="K311">
        <v>1.25</v>
      </c>
      <c r="L311">
        <v>10</v>
      </c>
      <c r="M311">
        <v>10</v>
      </c>
      <c r="N311">
        <v>35</v>
      </c>
      <c r="O311" t="s">
        <v>24</v>
      </c>
      <c r="P311" t="s">
        <v>25</v>
      </c>
    </row>
    <row r="312" spans="1:16" x14ac:dyDescent="0.25">
      <c r="A312" t="s">
        <v>1275</v>
      </c>
      <c r="B312" t="s">
        <v>364</v>
      </c>
      <c r="C312" t="s">
        <v>18</v>
      </c>
      <c r="D312" t="s">
        <v>95</v>
      </c>
      <c r="E312" t="s">
        <v>1276</v>
      </c>
      <c r="F312" t="s">
        <v>38</v>
      </c>
      <c r="G312" t="s">
        <v>1277</v>
      </c>
      <c r="H312" t="s">
        <v>1278</v>
      </c>
      <c r="I312">
        <v>1.5</v>
      </c>
      <c r="J312">
        <v>38</v>
      </c>
      <c r="K312">
        <v>1.25</v>
      </c>
      <c r="L312">
        <v>10</v>
      </c>
      <c r="M312">
        <v>10</v>
      </c>
      <c r="N312">
        <v>58</v>
      </c>
      <c r="O312" t="s">
        <v>56</v>
      </c>
      <c r="P312" t="s">
        <v>57</v>
      </c>
    </row>
    <row r="313" spans="1:16" x14ac:dyDescent="0.25">
      <c r="A313" t="s">
        <v>1279</v>
      </c>
      <c r="B313" t="s">
        <v>370</v>
      </c>
      <c r="C313" t="s">
        <v>28</v>
      </c>
      <c r="D313" t="s">
        <v>101</v>
      </c>
      <c r="E313" t="s">
        <v>1280</v>
      </c>
      <c r="F313" t="s">
        <v>38</v>
      </c>
      <c r="G313" t="s">
        <v>700</v>
      </c>
      <c r="H313" t="s">
        <v>701</v>
      </c>
      <c r="I313">
        <v>2</v>
      </c>
      <c r="J313">
        <v>60</v>
      </c>
      <c r="K313">
        <v>1.25</v>
      </c>
      <c r="L313">
        <v>15</v>
      </c>
      <c r="M313">
        <v>10</v>
      </c>
      <c r="N313">
        <v>85</v>
      </c>
      <c r="O313" t="s">
        <v>65</v>
      </c>
      <c r="P313" t="s">
        <v>25</v>
      </c>
    </row>
    <row r="314" spans="1:16" x14ac:dyDescent="0.25">
      <c r="A314" t="s">
        <v>1281</v>
      </c>
      <c r="B314" t="s">
        <v>376</v>
      </c>
      <c r="C314" t="s">
        <v>35</v>
      </c>
      <c r="D314" t="s">
        <v>107</v>
      </c>
      <c r="E314" t="s">
        <v>1282</v>
      </c>
      <c r="F314" t="s">
        <v>53</v>
      </c>
      <c r="G314" t="s">
        <v>1283</v>
      </c>
      <c r="H314" t="s">
        <v>1284</v>
      </c>
      <c r="I314">
        <v>2.5</v>
      </c>
      <c r="J314">
        <v>113</v>
      </c>
      <c r="K314">
        <v>1.25</v>
      </c>
      <c r="L314">
        <v>28</v>
      </c>
      <c r="M314">
        <v>10</v>
      </c>
      <c r="N314">
        <v>151</v>
      </c>
      <c r="O314" t="s">
        <v>72</v>
      </c>
      <c r="P314" t="s">
        <v>73</v>
      </c>
    </row>
    <row r="315" spans="1:16" x14ac:dyDescent="0.25">
      <c r="A315" t="s">
        <v>1285</v>
      </c>
      <c r="B315" t="s">
        <v>382</v>
      </c>
      <c r="C315" t="s">
        <v>43</v>
      </c>
      <c r="D315" t="s">
        <v>113</v>
      </c>
      <c r="E315" t="s">
        <v>1286</v>
      </c>
      <c r="F315" t="s">
        <v>62</v>
      </c>
      <c r="G315" t="s">
        <v>1287</v>
      </c>
      <c r="H315" t="s">
        <v>1288</v>
      </c>
      <c r="I315">
        <v>3</v>
      </c>
      <c r="J315">
        <v>162</v>
      </c>
      <c r="K315">
        <v>1.25</v>
      </c>
      <c r="L315">
        <v>41</v>
      </c>
      <c r="M315">
        <v>10</v>
      </c>
      <c r="N315">
        <v>213</v>
      </c>
      <c r="O315" t="s">
        <v>80</v>
      </c>
      <c r="P315" t="s">
        <v>25</v>
      </c>
    </row>
    <row r="316" spans="1:16" x14ac:dyDescent="0.25">
      <c r="A316" t="s">
        <v>1289</v>
      </c>
      <c r="B316" t="s">
        <v>388</v>
      </c>
      <c r="C316" t="s">
        <v>50</v>
      </c>
      <c r="D316" t="s">
        <v>119</v>
      </c>
      <c r="E316" t="s">
        <v>1290</v>
      </c>
      <c r="F316" t="s">
        <v>21</v>
      </c>
      <c r="G316" t="s">
        <v>712</v>
      </c>
      <c r="H316" t="s">
        <v>713</v>
      </c>
      <c r="I316">
        <v>1</v>
      </c>
      <c r="J316">
        <v>40</v>
      </c>
      <c r="K316">
        <v>1.25</v>
      </c>
      <c r="L316">
        <v>10</v>
      </c>
      <c r="M316">
        <v>10</v>
      </c>
      <c r="N316">
        <v>35</v>
      </c>
      <c r="O316" t="s">
        <v>24</v>
      </c>
      <c r="P316" t="s">
        <v>25</v>
      </c>
    </row>
    <row r="317" spans="1:16" x14ac:dyDescent="0.25">
      <c r="A317" t="s">
        <v>1291</v>
      </c>
      <c r="B317" t="s">
        <v>394</v>
      </c>
      <c r="C317" t="s">
        <v>18</v>
      </c>
      <c r="D317" t="s">
        <v>125</v>
      </c>
      <c r="E317" t="s">
        <v>1292</v>
      </c>
      <c r="F317" t="s">
        <v>21</v>
      </c>
      <c r="G317" t="s">
        <v>716</v>
      </c>
      <c r="H317" t="s">
        <v>717</v>
      </c>
      <c r="I317">
        <v>1.5</v>
      </c>
      <c r="J317">
        <v>75</v>
      </c>
      <c r="K317">
        <v>1.25</v>
      </c>
      <c r="L317">
        <v>19</v>
      </c>
      <c r="M317">
        <v>10</v>
      </c>
      <c r="N317">
        <v>104</v>
      </c>
      <c r="O317" t="s">
        <v>24</v>
      </c>
      <c r="P317" t="s">
        <v>25</v>
      </c>
    </row>
    <row r="318" spans="1:16" x14ac:dyDescent="0.25">
      <c r="A318" t="s">
        <v>1293</v>
      </c>
      <c r="B318" t="s">
        <v>399</v>
      </c>
      <c r="C318" t="s">
        <v>28</v>
      </c>
      <c r="D318" t="s">
        <v>131</v>
      </c>
      <c r="E318" t="s">
        <v>1294</v>
      </c>
      <c r="F318" t="s">
        <v>21</v>
      </c>
      <c r="G318" t="s">
        <v>1295</v>
      </c>
      <c r="H318" t="s">
        <v>1296</v>
      </c>
      <c r="I318">
        <v>2</v>
      </c>
      <c r="J318">
        <v>120</v>
      </c>
      <c r="K318">
        <v>1.25</v>
      </c>
      <c r="L318">
        <v>30</v>
      </c>
      <c r="M318">
        <v>10</v>
      </c>
      <c r="N318">
        <v>160</v>
      </c>
      <c r="O318" t="s">
        <v>24</v>
      </c>
      <c r="P318" t="s">
        <v>25</v>
      </c>
    </row>
    <row r="319" spans="1:16" x14ac:dyDescent="0.25">
      <c r="A319" t="s">
        <v>1297</v>
      </c>
      <c r="B319" t="s">
        <v>404</v>
      </c>
      <c r="C319" t="s">
        <v>35</v>
      </c>
      <c r="D319" t="s">
        <v>137</v>
      </c>
      <c r="E319" t="s">
        <v>1298</v>
      </c>
      <c r="F319" t="s">
        <v>38</v>
      </c>
      <c r="G319" t="s">
        <v>724</v>
      </c>
      <c r="H319" t="s">
        <v>725</v>
      </c>
      <c r="I319">
        <v>2.5</v>
      </c>
      <c r="J319">
        <v>38</v>
      </c>
      <c r="K319">
        <v>1.25</v>
      </c>
      <c r="L319">
        <v>10</v>
      </c>
      <c r="M319">
        <v>10</v>
      </c>
      <c r="N319">
        <v>58</v>
      </c>
      <c r="O319" t="s">
        <v>24</v>
      </c>
      <c r="P319" t="s">
        <v>25</v>
      </c>
    </row>
    <row r="320" spans="1:16" x14ac:dyDescent="0.25">
      <c r="A320" t="s">
        <v>1299</v>
      </c>
      <c r="B320" t="s">
        <v>409</v>
      </c>
      <c r="C320" t="s">
        <v>43</v>
      </c>
      <c r="D320" t="s">
        <v>143</v>
      </c>
      <c r="E320" t="s">
        <v>1300</v>
      </c>
      <c r="F320" t="s">
        <v>38</v>
      </c>
      <c r="G320" t="s">
        <v>1301</v>
      </c>
      <c r="H320" t="s">
        <v>1302</v>
      </c>
      <c r="I320">
        <v>3</v>
      </c>
      <c r="J320">
        <v>30</v>
      </c>
      <c r="K320">
        <v>1</v>
      </c>
      <c r="L320">
        <v>0</v>
      </c>
      <c r="M320">
        <v>10</v>
      </c>
      <c r="N320">
        <v>40</v>
      </c>
      <c r="O320" t="s">
        <v>24</v>
      </c>
      <c r="P320" t="s">
        <v>25</v>
      </c>
    </row>
    <row r="321" spans="1:16" x14ac:dyDescent="0.25">
      <c r="A321" t="s">
        <v>1303</v>
      </c>
      <c r="B321" t="s">
        <v>414</v>
      </c>
      <c r="C321" t="s">
        <v>50</v>
      </c>
      <c r="D321" t="s">
        <v>149</v>
      </c>
      <c r="E321" t="s">
        <v>1304</v>
      </c>
      <c r="F321" t="s">
        <v>53</v>
      </c>
      <c r="G321" t="s">
        <v>732</v>
      </c>
      <c r="H321" t="s">
        <v>733</v>
      </c>
      <c r="I321">
        <v>1</v>
      </c>
      <c r="J321">
        <v>50</v>
      </c>
      <c r="K321">
        <v>1.25</v>
      </c>
      <c r="L321">
        <v>13</v>
      </c>
      <c r="M321">
        <v>10</v>
      </c>
      <c r="N321">
        <v>48</v>
      </c>
      <c r="O321" t="s">
        <v>56</v>
      </c>
      <c r="P321" t="s">
        <v>57</v>
      </c>
    </row>
    <row r="322" spans="1:16" x14ac:dyDescent="0.25">
      <c r="A322" t="s">
        <v>1305</v>
      </c>
      <c r="B322" t="s">
        <v>419</v>
      </c>
      <c r="C322" t="s">
        <v>18</v>
      </c>
      <c r="D322" t="s">
        <v>155</v>
      </c>
      <c r="E322" t="s">
        <v>1306</v>
      </c>
      <c r="F322" t="s">
        <v>62</v>
      </c>
      <c r="G322" t="s">
        <v>736</v>
      </c>
      <c r="H322" t="s">
        <v>737</v>
      </c>
      <c r="I322">
        <v>1.5</v>
      </c>
      <c r="J322">
        <v>135</v>
      </c>
      <c r="K322">
        <v>1.25</v>
      </c>
      <c r="L322">
        <v>34</v>
      </c>
      <c r="M322">
        <v>10</v>
      </c>
      <c r="N322">
        <v>179</v>
      </c>
      <c r="O322" t="s">
        <v>65</v>
      </c>
      <c r="P322" t="s">
        <v>25</v>
      </c>
    </row>
    <row r="323" spans="1:16" x14ac:dyDescent="0.25">
      <c r="A323" t="s">
        <v>1307</v>
      </c>
      <c r="B323" t="s">
        <v>424</v>
      </c>
      <c r="C323" t="s">
        <v>28</v>
      </c>
      <c r="D323" t="s">
        <v>161</v>
      </c>
      <c r="E323" t="s">
        <v>1308</v>
      </c>
      <c r="F323" t="s">
        <v>21</v>
      </c>
      <c r="G323" t="s">
        <v>1309</v>
      </c>
      <c r="H323" t="s">
        <v>1310</v>
      </c>
      <c r="I323">
        <v>2</v>
      </c>
      <c r="J323">
        <v>120</v>
      </c>
      <c r="K323">
        <v>1</v>
      </c>
      <c r="L323">
        <v>0</v>
      </c>
      <c r="M323">
        <v>10</v>
      </c>
      <c r="N323">
        <v>130</v>
      </c>
      <c r="O323" t="s">
        <v>72</v>
      </c>
      <c r="P323" t="s">
        <v>73</v>
      </c>
    </row>
    <row r="324" spans="1:16" x14ac:dyDescent="0.25">
      <c r="A324" t="s">
        <v>1311</v>
      </c>
      <c r="B324" t="s">
        <v>429</v>
      </c>
      <c r="C324" t="s">
        <v>35</v>
      </c>
      <c r="D324" t="s">
        <v>167</v>
      </c>
      <c r="E324" t="s">
        <v>1312</v>
      </c>
      <c r="F324" t="s">
        <v>21</v>
      </c>
      <c r="G324" t="s">
        <v>1313</v>
      </c>
      <c r="H324" t="s">
        <v>1314</v>
      </c>
      <c r="I324">
        <v>2.5</v>
      </c>
      <c r="J324">
        <v>88</v>
      </c>
      <c r="K324">
        <v>1</v>
      </c>
      <c r="L324">
        <v>0</v>
      </c>
      <c r="M324">
        <v>10</v>
      </c>
      <c r="N324">
        <v>98</v>
      </c>
      <c r="O324" t="s">
        <v>80</v>
      </c>
      <c r="P324" t="s">
        <v>25</v>
      </c>
    </row>
    <row r="325" spans="1:16" x14ac:dyDescent="0.25">
      <c r="A325" t="s">
        <v>1315</v>
      </c>
      <c r="B325" t="s">
        <v>434</v>
      </c>
      <c r="C325" t="s">
        <v>43</v>
      </c>
      <c r="D325" t="s">
        <v>173</v>
      </c>
      <c r="E325" t="s">
        <v>1316</v>
      </c>
      <c r="F325" t="s">
        <v>21</v>
      </c>
      <c r="G325" t="s">
        <v>748</v>
      </c>
      <c r="H325" t="s">
        <v>749</v>
      </c>
      <c r="I325">
        <v>3</v>
      </c>
      <c r="J325">
        <v>90</v>
      </c>
      <c r="K325">
        <v>1.25</v>
      </c>
      <c r="L325">
        <v>23</v>
      </c>
      <c r="M325">
        <v>10</v>
      </c>
      <c r="N325">
        <v>123</v>
      </c>
      <c r="O325" t="s">
        <v>24</v>
      </c>
      <c r="P325" t="s">
        <v>25</v>
      </c>
    </row>
    <row r="326" spans="1:16" x14ac:dyDescent="0.25">
      <c r="A326" t="s">
        <v>1317</v>
      </c>
      <c r="B326" t="s">
        <v>439</v>
      </c>
      <c r="C326" t="s">
        <v>50</v>
      </c>
      <c r="D326" t="s">
        <v>179</v>
      </c>
      <c r="E326" t="s">
        <v>1318</v>
      </c>
      <c r="F326" t="s">
        <v>38</v>
      </c>
      <c r="G326" t="s">
        <v>1319</v>
      </c>
      <c r="H326" t="s">
        <v>1320</v>
      </c>
      <c r="I326">
        <v>1</v>
      </c>
      <c r="J326">
        <v>20</v>
      </c>
      <c r="K326">
        <v>1.25</v>
      </c>
      <c r="L326">
        <v>5</v>
      </c>
      <c r="M326">
        <v>10</v>
      </c>
      <c r="N326">
        <v>35</v>
      </c>
      <c r="O326" t="s">
        <v>24</v>
      </c>
      <c r="P326" t="s">
        <v>25</v>
      </c>
    </row>
    <row r="327" spans="1:16" x14ac:dyDescent="0.25">
      <c r="A327" t="s">
        <v>1321</v>
      </c>
      <c r="B327" t="s">
        <v>444</v>
      </c>
      <c r="C327" t="s">
        <v>18</v>
      </c>
      <c r="D327" t="s">
        <v>185</v>
      </c>
      <c r="E327" t="s">
        <v>1322</v>
      </c>
      <c r="F327" t="s">
        <v>38</v>
      </c>
      <c r="G327" t="s">
        <v>1323</v>
      </c>
      <c r="H327" t="s">
        <v>1324</v>
      </c>
      <c r="I327">
        <v>1.5</v>
      </c>
      <c r="J327">
        <v>38</v>
      </c>
      <c r="K327">
        <v>1</v>
      </c>
      <c r="L327">
        <v>0</v>
      </c>
      <c r="M327">
        <v>10</v>
      </c>
      <c r="N327">
        <v>48</v>
      </c>
      <c r="O327" t="s">
        <v>24</v>
      </c>
      <c r="P327" t="s">
        <v>25</v>
      </c>
    </row>
    <row r="328" spans="1:16" x14ac:dyDescent="0.25">
      <c r="A328" t="s">
        <v>1325</v>
      </c>
      <c r="B328" t="s">
        <v>449</v>
      </c>
      <c r="C328" t="s">
        <v>28</v>
      </c>
      <c r="D328" t="s">
        <v>191</v>
      </c>
      <c r="E328" t="s">
        <v>1326</v>
      </c>
      <c r="F328" t="s">
        <v>53</v>
      </c>
      <c r="G328" t="s">
        <v>760</v>
      </c>
      <c r="H328" t="s">
        <v>761</v>
      </c>
      <c r="I328">
        <v>2</v>
      </c>
      <c r="J328">
        <v>140</v>
      </c>
      <c r="K328">
        <v>1.25</v>
      </c>
      <c r="L328">
        <v>35</v>
      </c>
      <c r="M328">
        <v>10</v>
      </c>
      <c r="N328">
        <v>185</v>
      </c>
      <c r="O328" t="s">
        <v>24</v>
      </c>
      <c r="P328" t="s">
        <v>25</v>
      </c>
    </row>
    <row r="329" spans="1:16" x14ac:dyDescent="0.25">
      <c r="A329" t="s">
        <v>1327</v>
      </c>
      <c r="B329" t="s">
        <v>454</v>
      </c>
      <c r="C329" t="s">
        <v>35</v>
      </c>
      <c r="D329" t="s">
        <v>197</v>
      </c>
      <c r="E329" t="s">
        <v>1328</v>
      </c>
      <c r="F329" t="s">
        <v>62</v>
      </c>
      <c r="G329" t="s">
        <v>764</v>
      </c>
      <c r="H329" t="s">
        <v>765</v>
      </c>
      <c r="I329">
        <v>2.5</v>
      </c>
      <c r="J329">
        <v>158</v>
      </c>
      <c r="K329">
        <v>1.25</v>
      </c>
      <c r="L329">
        <v>40</v>
      </c>
      <c r="M329">
        <v>10</v>
      </c>
      <c r="N329">
        <v>208</v>
      </c>
      <c r="O329" t="s">
        <v>24</v>
      </c>
      <c r="P329" t="s">
        <v>25</v>
      </c>
    </row>
    <row r="330" spans="1:16" x14ac:dyDescent="0.25">
      <c r="A330" t="s">
        <v>1329</v>
      </c>
      <c r="B330" t="s">
        <v>459</v>
      </c>
      <c r="C330" t="s">
        <v>43</v>
      </c>
      <c r="D330" t="s">
        <v>203</v>
      </c>
      <c r="E330" t="s">
        <v>1330</v>
      </c>
      <c r="F330" t="s">
        <v>21</v>
      </c>
      <c r="G330" t="s">
        <v>1331</v>
      </c>
      <c r="H330" t="s">
        <v>1332</v>
      </c>
      <c r="I330">
        <v>3</v>
      </c>
      <c r="J330">
        <v>90</v>
      </c>
      <c r="K330">
        <v>1</v>
      </c>
      <c r="L330">
        <v>0</v>
      </c>
      <c r="M330">
        <v>10</v>
      </c>
      <c r="N330">
        <v>100</v>
      </c>
      <c r="O330" t="s">
        <v>56</v>
      </c>
      <c r="P330" t="s">
        <v>57</v>
      </c>
    </row>
    <row r="331" spans="1:16" x14ac:dyDescent="0.25">
      <c r="A331" t="s">
        <v>1333</v>
      </c>
      <c r="B331" t="s">
        <v>464</v>
      </c>
      <c r="C331" t="s">
        <v>50</v>
      </c>
      <c r="D331" t="s">
        <v>209</v>
      </c>
      <c r="E331" t="s">
        <v>1334</v>
      </c>
      <c r="F331" t="s">
        <v>21</v>
      </c>
      <c r="G331" t="s">
        <v>772</v>
      </c>
      <c r="H331" t="s">
        <v>773</v>
      </c>
      <c r="I331">
        <v>1</v>
      </c>
      <c r="J331">
        <v>40</v>
      </c>
      <c r="K331">
        <v>1.25</v>
      </c>
      <c r="L331">
        <v>10</v>
      </c>
      <c r="M331">
        <v>10</v>
      </c>
      <c r="N331">
        <v>35</v>
      </c>
      <c r="O331" t="s">
        <v>65</v>
      </c>
      <c r="P331" t="s">
        <v>25</v>
      </c>
    </row>
    <row r="332" spans="1:16" x14ac:dyDescent="0.25">
      <c r="A332" t="s">
        <v>1335</v>
      </c>
      <c r="B332" t="s">
        <v>469</v>
      </c>
      <c r="C332" t="s">
        <v>18</v>
      </c>
      <c r="D332" t="s">
        <v>215</v>
      </c>
      <c r="E332" t="s">
        <v>1336</v>
      </c>
      <c r="F332" t="s">
        <v>21</v>
      </c>
      <c r="G332" t="s">
        <v>1337</v>
      </c>
      <c r="H332" t="s">
        <v>1338</v>
      </c>
      <c r="I332">
        <v>1.5</v>
      </c>
      <c r="J332">
        <v>75</v>
      </c>
      <c r="K332">
        <v>1.25</v>
      </c>
      <c r="L332">
        <v>19</v>
      </c>
      <c r="M332">
        <v>10</v>
      </c>
      <c r="N332">
        <v>104</v>
      </c>
      <c r="O332" t="s">
        <v>72</v>
      </c>
      <c r="P332" t="s">
        <v>73</v>
      </c>
    </row>
    <row r="333" spans="1:16" x14ac:dyDescent="0.25">
      <c r="A333" t="s">
        <v>1339</v>
      </c>
      <c r="B333" t="s">
        <v>474</v>
      </c>
      <c r="C333" t="s">
        <v>28</v>
      </c>
      <c r="D333" t="s">
        <v>221</v>
      </c>
      <c r="E333" t="s">
        <v>1340</v>
      </c>
      <c r="F333" t="s">
        <v>38</v>
      </c>
      <c r="G333" t="s">
        <v>780</v>
      </c>
      <c r="H333" t="s">
        <v>781</v>
      </c>
      <c r="I333">
        <v>2</v>
      </c>
      <c r="J333">
        <v>60</v>
      </c>
      <c r="K333">
        <v>1.25</v>
      </c>
      <c r="L333">
        <v>15</v>
      </c>
      <c r="M333">
        <v>10</v>
      </c>
      <c r="N333">
        <v>85</v>
      </c>
      <c r="O333" t="s">
        <v>80</v>
      </c>
      <c r="P333" t="s">
        <v>25</v>
      </c>
    </row>
    <row r="334" spans="1:16" x14ac:dyDescent="0.25">
      <c r="A334" t="s">
        <v>1341</v>
      </c>
      <c r="B334" t="s">
        <v>479</v>
      </c>
      <c r="C334" t="s">
        <v>35</v>
      </c>
      <c r="D334" t="s">
        <v>227</v>
      </c>
      <c r="E334" t="s">
        <v>1342</v>
      </c>
      <c r="F334" t="s">
        <v>38</v>
      </c>
      <c r="G334" t="s">
        <v>784</v>
      </c>
      <c r="H334" t="s">
        <v>785</v>
      </c>
      <c r="I334">
        <v>2.5</v>
      </c>
      <c r="J334">
        <v>38</v>
      </c>
      <c r="K334">
        <v>1.25</v>
      </c>
      <c r="L334">
        <v>10</v>
      </c>
      <c r="M334">
        <v>10</v>
      </c>
      <c r="N334">
        <v>58</v>
      </c>
      <c r="O334" t="s">
        <v>24</v>
      </c>
      <c r="P334" t="s">
        <v>25</v>
      </c>
    </row>
    <row r="335" spans="1:16" x14ac:dyDescent="0.25">
      <c r="A335" t="s">
        <v>1343</v>
      </c>
      <c r="B335" t="s">
        <v>484</v>
      </c>
      <c r="C335" t="s">
        <v>43</v>
      </c>
      <c r="D335" t="s">
        <v>233</v>
      </c>
      <c r="E335" t="s">
        <v>1344</v>
      </c>
      <c r="F335" t="s">
        <v>53</v>
      </c>
      <c r="G335" t="s">
        <v>1345</v>
      </c>
      <c r="H335" t="s">
        <v>1346</v>
      </c>
      <c r="I335">
        <v>3</v>
      </c>
      <c r="J335">
        <v>120</v>
      </c>
      <c r="K335">
        <v>1</v>
      </c>
      <c r="L335">
        <v>0</v>
      </c>
      <c r="M335">
        <v>10</v>
      </c>
      <c r="N335">
        <v>130</v>
      </c>
      <c r="O335" t="s">
        <v>24</v>
      </c>
      <c r="P335" t="s">
        <v>25</v>
      </c>
    </row>
    <row r="336" spans="1:16" x14ac:dyDescent="0.25">
      <c r="A336" t="s">
        <v>1347</v>
      </c>
      <c r="B336" t="s">
        <v>489</v>
      </c>
      <c r="C336" t="s">
        <v>50</v>
      </c>
      <c r="D336" t="s">
        <v>239</v>
      </c>
      <c r="E336" t="s">
        <v>1348</v>
      </c>
      <c r="F336" t="s">
        <v>62</v>
      </c>
      <c r="G336" t="s">
        <v>1349</v>
      </c>
      <c r="H336" t="s">
        <v>1350</v>
      </c>
      <c r="I336">
        <v>1</v>
      </c>
      <c r="J336">
        <v>72</v>
      </c>
      <c r="K336">
        <v>1.25</v>
      </c>
      <c r="L336">
        <v>18</v>
      </c>
      <c r="M336">
        <v>10</v>
      </c>
      <c r="N336">
        <v>100</v>
      </c>
      <c r="O336" t="s">
        <v>24</v>
      </c>
      <c r="P336" t="s">
        <v>25</v>
      </c>
    </row>
    <row r="337" spans="1:16" x14ac:dyDescent="0.25">
      <c r="A337" t="s">
        <v>1351</v>
      </c>
      <c r="B337" t="s">
        <v>494</v>
      </c>
      <c r="C337" t="s">
        <v>18</v>
      </c>
      <c r="D337" t="s">
        <v>245</v>
      </c>
      <c r="E337" t="s">
        <v>1352</v>
      </c>
      <c r="F337" t="s">
        <v>21</v>
      </c>
      <c r="G337" t="s">
        <v>796</v>
      </c>
      <c r="H337" t="s">
        <v>797</v>
      </c>
      <c r="I337">
        <v>1.5</v>
      </c>
      <c r="J337">
        <v>75</v>
      </c>
      <c r="K337">
        <v>1.25</v>
      </c>
      <c r="L337">
        <v>19</v>
      </c>
      <c r="M337">
        <v>10</v>
      </c>
      <c r="N337">
        <v>104</v>
      </c>
      <c r="O337" t="s">
        <v>24</v>
      </c>
      <c r="P337" t="s">
        <v>25</v>
      </c>
    </row>
    <row r="338" spans="1:16" x14ac:dyDescent="0.25">
      <c r="A338" t="s">
        <v>1353</v>
      </c>
      <c r="B338" t="s">
        <v>499</v>
      </c>
      <c r="C338" t="s">
        <v>28</v>
      </c>
      <c r="D338" t="s">
        <v>251</v>
      </c>
      <c r="E338" t="s">
        <v>1354</v>
      </c>
      <c r="F338" t="s">
        <v>21</v>
      </c>
      <c r="G338" t="s">
        <v>1355</v>
      </c>
      <c r="H338" t="s">
        <v>1356</v>
      </c>
      <c r="I338">
        <v>2</v>
      </c>
      <c r="J338">
        <v>120</v>
      </c>
      <c r="K338">
        <v>1</v>
      </c>
      <c r="L338">
        <v>0</v>
      </c>
      <c r="M338">
        <v>10</v>
      </c>
      <c r="N338">
        <v>130</v>
      </c>
      <c r="O338" t="s">
        <v>24</v>
      </c>
      <c r="P338" t="s">
        <v>25</v>
      </c>
    </row>
    <row r="339" spans="1:16" x14ac:dyDescent="0.25">
      <c r="A339" t="s">
        <v>1357</v>
      </c>
      <c r="B339" t="s">
        <v>504</v>
      </c>
      <c r="C339" t="s">
        <v>35</v>
      </c>
      <c r="D339" t="s">
        <v>257</v>
      </c>
      <c r="E339" t="s">
        <v>1358</v>
      </c>
      <c r="F339" t="s">
        <v>21</v>
      </c>
      <c r="G339" t="s">
        <v>1359</v>
      </c>
      <c r="H339" t="s">
        <v>1360</v>
      </c>
      <c r="I339">
        <v>2.5</v>
      </c>
      <c r="J339">
        <v>88</v>
      </c>
      <c r="K339">
        <v>1.25</v>
      </c>
      <c r="L339">
        <v>22</v>
      </c>
      <c r="M339">
        <v>10</v>
      </c>
      <c r="N339">
        <v>120</v>
      </c>
      <c r="O339" t="s">
        <v>56</v>
      </c>
      <c r="P339" t="s">
        <v>57</v>
      </c>
    </row>
    <row r="340" spans="1:16" x14ac:dyDescent="0.25">
      <c r="A340" t="s">
        <v>1361</v>
      </c>
      <c r="B340" t="s">
        <v>509</v>
      </c>
      <c r="C340" t="s">
        <v>43</v>
      </c>
      <c r="D340" t="s">
        <v>263</v>
      </c>
      <c r="E340" t="s">
        <v>1362</v>
      </c>
      <c r="F340" t="s">
        <v>38</v>
      </c>
      <c r="G340" t="s">
        <v>807</v>
      </c>
      <c r="H340" t="s">
        <v>808</v>
      </c>
      <c r="I340">
        <v>3</v>
      </c>
      <c r="J340">
        <v>30</v>
      </c>
      <c r="K340">
        <v>1.25</v>
      </c>
      <c r="L340">
        <v>8</v>
      </c>
      <c r="M340">
        <v>10</v>
      </c>
      <c r="N340">
        <v>48</v>
      </c>
      <c r="O340" t="s">
        <v>65</v>
      </c>
      <c r="P340" t="s">
        <v>25</v>
      </c>
    </row>
    <row r="341" spans="1:16" x14ac:dyDescent="0.25">
      <c r="A341" t="s">
        <v>1363</v>
      </c>
      <c r="B341" t="s">
        <v>514</v>
      </c>
      <c r="C341" t="s">
        <v>50</v>
      </c>
      <c r="D341" t="s">
        <v>269</v>
      </c>
      <c r="E341" t="s">
        <v>1364</v>
      </c>
      <c r="F341" t="s">
        <v>38</v>
      </c>
      <c r="G341" t="s">
        <v>811</v>
      </c>
      <c r="H341" t="s">
        <v>812</v>
      </c>
      <c r="I341">
        <v>1</v>
      </c>
      <c r="J341">
        <v>20</v>
      </c>
      <c r="K341">
        <v>1.25</v>
      </c>
      <c r="L341">
        <v>5</v>
      </c>
      <c r="M341">
        <v>10</v>
      </c>
      <c r="N341">
        <v>2850</v>
      </c>
      <c r="O341" t="s">
        <v>72</v>
      </c>
      <c r="P341" t="s">
        <v>73</v>
      </c>
    </row>
    <row r="342" spans="1:16" x14ac:dyDescent="0.25">
      <c r="A342" t="s">
        <v>1365</v>
      </c>
      <c r="B342" t="s">
        <v>17</v>
      </c>
      <c r="C342" t="s">
        <v>18</v>
      </c>
      <c r="D342" t="s">
        <v>275</v>
      </c>
      <c r="E342" t="s">
        <v>1366</v>
      </c>
      <c r="F342" t="s">
        <v>53</v>
      </c>
      <c r="G342" t="s">
        <v>1367</v>
      </c>
      <c r="H342" t="s">
        <v>1368</v>
      </c>
      <c r="I342">
        <v>1.5</v>
      </c>
      <c r="J342">
        <v>90</v>
      </c>
      <c r="K342">
        <v>1.25</v>
      </c>
      <c r="L342">
        <v>23</v>
      </c>
      <c r="M342">
        <v>10</v>
      </c>
      <c r="N342">
        <v>123</v>
      </c>
      <c r="O342" t="s">
        <v>80</v>
      </c>
      <c r="P342" t="s">
        <v>25</v>
      </c>
    </row>
    <row r="343" spans="1:16" x14ac:dyDescent="0.25">
      <c r="A343" t="s">
        <v>1369</v>
      </c>
      <c r="B343" t="s">
        <v>27</v>
      </c>
      <c r="C343" t="s">
        <v>28</v>
      </c>
      <c r="D343" t="s">
        <v>281</v>
      </c>
      <c r="E343" t="s">
        <v>1370</v>
      </c>
      <c r="F343" t="s">
        <v>62</v>
      </c>
      <c r="G343" t="s">
        <v>819</v>
      </c>
      <c r="H343" t="s">
        <v>820</v>
      </c>
      <c r="I343">
        <v>2</v>
      </c>
      <c r="J343">
        <v>216</v>
      </c>
      <c r="K343">
        <v>1.25</v>
      </c>
      <c r="L343">
        <v>54</v>
      </c>
      <c r="M343">
        <v>10</v>
      </c>
      <c r="N343">
        <v>280</v>
      </c>
      <c r="O343" t="s">
        <v>24</v>
      </c>
      <c r="P343" t="s">
        <v>25</v>
      </c>
    </row>
    <row r="344" spans="1:16" x14ac:dyDescent="0.25">
      <c r="A344" t="s">
        <v>1371</v>
      </c>
      <c r="B344" t="s">
        <v>34</v>
      </c>
      <c r="C344" t="s">
        <v>35</v>
      </c>
      <c r="D344" t="s">
        <v>287</v>
      </c>
      <c r="E344" t="s">
        <v>1372</v>
      </c>
      <c r="F344" t="s">
        <v>21</v>
      </c>
      <c r="G344" t="s">
        <v>1106</v>
      </c>
      <c r="H344" t="s">
        <v>1373</v>
      </c>
      <c r="I344">
        <v>2.5</v>
      </c>
      <c r="J344">
        <v>88</v>
      </c>
      <c r="K344">
        <v>1</v>
      </c>
      <c r="L344">
        <v>0</v>
      </c>
      <c r="M344">
        <v>10</v>
      </c>
      <c r="N344">
        <v>98</v>
      </c>
      <c r="O344" t="s">
        <v>24</v>
      </c>
      <c r="P344" t="s">
        <v>25</v>
      </c>
    </row>
    <row r="345" spans="1:16" x14ac:dyDescent="0.25">
      <c r="A345" t="s">
        <v>1374</v>
      </c>
      <c r="B345" t="s">
        <v>42</v>
      </c>
      <c r="C345" t="s">
        <v>43</v>
      </c>
      <c r="D345" t="s">
        <v>293</v>
      </c>
      <c r="E345" t="s">
        <v>1375</v>
      </c>
      <c r="F345" t="s">
        <v>21</v>
      </c>
      <c r="G345" t="s">
        <v>826</v>
      </c>
      <c r="H345" t="s">
        <v>827</v>
      </c>
      <c r="I345">
        <v>3</v>
      </c>
      <c r="J345">
        <v>90</v>
      </c>
      <c r="K345">
        <v>1.25</v>
      </c>
      <c r="L345">
        <v>23</v>
      </c>
      <c r="M345">
        <v>10</v>
      </c>
      <c r="N345">
        <v>123</v>
      </c>
      <c r="O345" t="s">
        <v>24</v>
      </c>
      <c r="P345" t="s">
        <v>25</v>
      </c>
    </row>
    <row r="346" spans="1:16" x14ac:dyDescent="0.25">
      <c r="A346" t="s">
        <v>1376</v>
      </c>
      <c r="B346" t="s">
        <v>49</v>
      </c>
      <c r="C346" t="s">
        <v>50</v>
      </c>
      <c r="D346" t="s">
        <v>299</v>
      </c>
      <c r="E346" t="s">
        <v>1377</v>
      </c>
      <c r="F346" t="s">
        <v>21</v>
      </c>
      <c r="G346" t="s">
        <v>830</v>
      </c>
      <c r="H346" t="s">
        <v>831</v>
      </c>
      <c r="I346">
        <v>1</v>
      </c>
      <c r="J346">
        <v>40</v>
      </c>
      <c r="K346">
        <v>1.25</v>
      </c>
      <c r="L346">
        <v>10</v>
      </c>
      <c r="M346">
        <v>10</v>
      </c>
      <c r="N346">
        <v>60</v>
      </c>
      <c r="O346" t="s">
        <v>24</v>
      </c>
      <c r="P346" t="s">
        <v>25</v>
      </c>
    </row>
    <row r="347" spans="1:16" x14ac:dyDescent="0.25">
      <c r="A347" t="s">
        <v>1378</v>
      </c>
      <c r="B347" t="s">
        <v>59</v>
      </c>
      <c r="C347" t="s">
        <v>18</v>
      </c>
      <c r="D347" t="s">
        <v>305</v>
      </c>
      <c r="E347" t="s">
        <v>1379</v>
      </c>
      <c r="F347" t="s">
        <v>38</v>
      </c>
      <c r="G347" t="s">
        <v>1380</v>
      </c>
      <c r="H347" t="s">
        <v>471</v>
      </c>
      <c r="I347">
        <v>1.5</v>
      </c>
      <c r="J347">
        <v>38</v>
      </c>
      <c r="K347">
        <v>1</v>
      </c>
      <c r="L347">
        <v>0</v>
      </c>
      <c r="M347">
        <v>10</v>
      </c>
      <c r="N347">
        <v>48</v>
      </c>
      <c r="O347" t="s">
        <v>24</v>
      </c>
      <c r="P347" t="s">
        <v>25</v>
      </c>
    </row>
    <row r="348" spans="1:16" x14ac:dyDescent="0.25">
      <c r="A348" t="s">
        <v>1381</v>
      </c>
      <c r="B348" t="s">
        <v>67</v>
      </c>
      <c r="C348" t="s">
        <v>28</v>
      </c>
      <c r="D348" t="s">
        <v>311</v>
      </c>
      <c r="E348" t="s">
        <v>1382</v>
      </c>
      <c r="F348" t="s">
        <v>38</v>
      </c>
      <c r="G348" t="s">
        <v>1383</v>
      </c>
      <c r="H348" t="s">
        <v>1384</v>
      </c>
      <c r="I348">
        <v>2</v>
      </c>
      <c r="J348">
        <v>60</v>
      </c>
      <c r="K348">
        <v>1</v>
      </c>
      <c r="L348">
        <v>0</v>
      </c>
      <c r="M348">
        <v>10</v>
      </c>
      <c r="N348">
        <v>70</v>
      </c>
      <c r="O348" t="s">
        <v>56</v>
      </c>
      <c r="P348" t="s">
        <v>57</v>
      </c>
    </row>
    <row r="349" spans="1:16" x14ac:dyDescent="0.25">
      <c r="A349" t="s">
        <v>1385</v>
      </c>
      <c r="B349" t="s">
        <v>75</v>
      </c>
      <c r="C349" t="s">
        <v>35</v>
      </c>
      <c r="D349" t="s">
        <v>317</v>
      </c>
      <c r="E349" t="s">
        <v>1386</v>
      </c>
      <c r="F349" t="s">
        <v>53</v>
      </c>
      <c r="G349" t="s">
        <v>842</v>
      </c>
      <c r="H349" t="s">
        <v>843</v>
      </c>
      <c r="I349">
        <v>2.5</v>
      </c>
      <c r="J349">
        <v>113</v>
      </c>
      <c r="K349">
        <v>1.25</v>
      </c>
      <c r="L349">
        <v>28</v>
      </c>
      <c r="M349">
        <v>10</v>
      </c>
      <c r="N349">
        <v>151</v>
      </c>
      <c r="O349" t="s">
        <v>65</v>
      </c>
      <c r="P349" t="s">
        <v>25</v>
      </c>
    </row>
    <row r="350" spans="1:16" x14ac:dyDescent="0.25">
      <c r="A350" t="s">
        <v>1387</v>
      </c>
      <c r="B350" t="s">
        <v>82</v>
      </c>
      <c r="C350" t="s">
        <v>43</v>
      </c>
      <c r="D350" t="s">
        <v>323</v>
      </c>
      <c r="E350" t="s">
        <v>1388</v>
      </c>
      <c r="F350" t="s">
        <v>62</v>
      </c>
      <c r="G350" t="s">
        <v>1389</v>
      </c>
      <c r="H350" t="s">
        <v>1390</v>
      </c>
      <c r="I350">
        <v>3</v>
      </c>
      <c r="J350">
        <v>162</v>
      </c>
      <c r="K350">
        <v>1.25</v>
      </c>
      <c r="L350">
        <v>41</v>
      </c>
      <c r="M350">
        <v>10</v>
      </c>
      <c r="N350">
        <v>213</v>
      </c>
      <c r="O350" t="s">
        <v>72</v>
      </c>
      <c r="P350" t="s">
        <v>73</v>
      </c>
    </row>
    <row r="351" spans="1:16" x14ac:dyDescent="0.25">
      <c r="A351" t="s">
        <v>1391</v>
      </c>
      <c r="B351" t="s">
        <v>88</v>
      </c>
      <c r="C351" t="s">
        <v>50</v>
      </c>
      <c r="D351" t="s">
        <v>329</v>
      </c>
      <c r="E351" t="s">
        <v>1392</v>
      </c>
      <c r="F351" t="s">
        <v>21</v>
      </c>
      <c r="G351" t="s">
        <v>1393</v>
      </c>
      <c r="H351" t="s">
        <v>1394</v>
      </c>
      <c r="I351">
        <v>1</v>
      </c>
      <c r="J351">
        <v>40</v>
      </c>
      <c r="K351">
        <v>1</v>
      </c>
      <c r="L351">
        <v>0</v>
      </c>
      <c r="M351">
        <v>10</v>
      </c>
      <c r="N351">
        <v>25</v>
      </c>
      <c r="O351" t="s">
        <v>80</v>
      </c>
      <c r="P351" t="s">
        <v>25</v>
      </c>
    </row>
    <row r="352" spans="1:16" x14ac:dyDescent="0.25">
      <c r="A352" t="s">
        <v>1395</v>
      </c>
      <c r="B352" t="s">
        <v>94</v>
      </c>
      <c r="C352" t="s">
        <v>18</v>
      </c>
      <c r="D352" t="s">
        <v>335</v>
      </c>
      <c r="E352" t="s">
        <v>1396</v>
      </c>
      <c r="F352" t="s">
        <v>21</v>
      </c>
      <c r="G352" t="s">
        <v>854</v>
      </c>
      <c r="H352" t="s">
        <v>855</v>
      </c>
      <c r="I352">
        <v>1.5</v>
      </c>
      <c r="J352">
        <v>75</v>
      </c>
      <c r="K352">
        <v>1.25</v>
      </c>
      <c r="L352">
        <v>19</v>
      </c>
      <c r="M352">
        <v>10</v>
      </c>
      <c r="N352">
        <v>104</v>
      </c>
      <c r="O352" t="s">
        <v>24</v>
      </c>
      <c r="P352" t="s">
        <v>25</v>
      </c>
    </row>
    <row r="353" spans="1:16" x14ac:dyDescent="0.25">
      <c r="A353" t="s">
        <v>1397</v>
      </c>
      <c r="B353" t="s">
        <v>100</v>
      </c>
      <c r="C353" t="s">
        <v>28</v>
      </c>
      <c r="D353" t="s">
        <v>341</v>
      </c>
      <c r="E353" t="s">
        <v>1398</v>
      </c>
      <c r="F353" t="s">
        <v>21</v>
      </c>
      <c r="G353" t="s">
        <v>858</v>
      </c>
      <c r="H353" t="s">
        <v>859</v>
      </c>
      <c r="I353">
        <v>2</v>
      </c>
      <c r="J353">
        <v>120</v>
      </c>
      <c r="K353">
        <v>1.25</v>
      </c>
      <c r="L353">
        <v>30</v>
      </c>
      <c r="M353">
        <v>10</v>
      </c>
      <c r="N353">
        <v>160</v>
      </c>
      <c r="O353" t="s">
        <v>24</v>
      </c>
      <c r="P353" t="s">
        <v>25</v>
      </c>
    </row>
    <row r="354" spans="1:16" x14ac:dyDescent="0.25">
      <c r="A354" t="s">
        <v>1399</v>
      </c>
      <c r="B354" t="s">
        <v>106</v>
      </c>
      <c r="C354" t="s">
        <v>35</v>
      </c>
      <c r="D354" t="s">
        <v>347</v>
      </c>
      <c r="E354" t="s">
        <v>1400</v>
      </c>
      <c r="F354" t="s">
        <v>38</v>
      </c>
      <c r="G354" t="s">
        <v>1401</v>
      </c>
      <c r="H354" t="s">
        <v>1402</v>
      </c>
      <c r="I354">
        <v>2.5</v>
      </c>
      <c r="J354">
        <v>38</v>
      </c>
      <c r="K354">
        <v>1.25</v>
      </c>
      <c r="L354">
        <v>10</v>
      </c>
      <c r="M354">
        <v>10</v>
      </c>
      <c r="N354">
        <v>58</v>
      </c>
      <c r="O354" t="s">
        <v>24</v>
      </c>
      <c r="P354" t="s">
        <v>25</v>
      </c>
    </row>
    <row r="355" spans="1:16" x14ac:dyDescent="0.25">
      <c r="A355" t="s">
        <v>1403</v>
      </c>
      <c r="B355" t="s">
        <v>112</v>
      </c>
      <c r="C355" t="s">
        <v>43</v>
      </c>
      <c r="D355" t="s">
        <v>353</v>
      </c>
      <c r="E355" t="s">
        <v>1404</v>
      </c>
      <c r="F355" t="s">
        <v>38</v>
      </c>
      <c r="G355" t="s">
        <v>865</v>
      </c>
      <c r="H355" t="s">
        <v>866</v>
      </c>
      <c r="I355">
        <v>3</v>
      </c>
      <c r="J355">
        <v>30</v>
      </c>
      <c r="K355">
        <v>1.25</v>
      </c>
      <c r="L355">
        <v>8</v>
      </c>
      <c r="M355">
        <v>10</v>
      </c>
      <c r="N355">
        <v>48</v>
      </c>
      <c r="O355" t="s">
        <v>24</v>
      </c>
      <c r="P355" t="s">
        <v>25</v>
      </c>
    </row>
    <row r="356" spans="1:16" x14ac:dyDescent="0.25">
      <c r="A356" t="s">
        <v>1405</v>
      </c>
      <c r="B356" t="s">
        <v>118</v>
      </c>
      <c r="C356" t="s">
        <v>50</v>
      </c>
      <c r="D356" t="s">
        <v>359</v>
      </c>
      <c r="E356" t="s">
        <v>1406</v>
      </c>
      <c r="F356" t="s">
        <v>53</v>
      </c>
      <c r="G356" t="s">
        <v>1407</v>
      </c>
      <c r="H356" t="s">
        <v>1408</v>
      </c>
      <c r="I356">
        <v>1</v>
      </c>
      <c r="J356">
        <v>50</v>
      </c>
      <c r="K356">
        <v>1.25</v>
      </c>
      <c r="L356">
        <v>13</v>
      </c>
      <c r="M356">
        <v>10</v>
      </c>
      <c r="N356">
        <v>73</v>
      </c>
      <c r="O356" t="s">
        <v>24</v>
      </c>
      <c r="P356" t="s">
        <v>25</v>
      </c>
    </row>
    <row r="357" spans="1:16" x14ac:dyDescent="0.25">
      <c r="A357" t="s">
        <v>1409</v>
      </c>
      <c r="B357" t="s">
        <v>124</v>
      </c>
      <c r="C357" t="s">
        <v>18</v>
      </c>
      <c r="D357" t="s">
        <v>365</v>
      </c>
      <c r="E357" t="s">
        <v>1410</v>
      </c>
      <c r="F357" t="s">
        <v>62</v>
      </c>
      <c r="G357" t="s">
        <v>873</v>
      </c>
      <c r="H357" t="s">
        <v>520</v>
      </c>
      <c r="I357">
        <v>1.5</v>
      </c>
      <c r="J357">
        <v>135</v>
      </c>
      <c r="K357">
        <v>1.25</v>
      </c>
      <c r="L357">
        <v>34</v>
      </c>
      <c r="M357">
        <v>10</v>
      </c>
      <c r="N357">
        <v>179</v>
      </c>
      <c r="O357" t="s">
        <v>56</v>
      </c>
      <c r="P357" t="s">
        <v>57</v>
      </c>
    </row>
    <row r="358" spans="1:16" x14ac:dyDescent="0.25">
      <c r="A358" t="s">
        <v>1411</v>
      </c>
      <c r="B358" t="s">
        <v>130</v>
      </c>
      <c r="C358" t="s">
        <v>28</v>
      </c>
      <c r="D358" t="s">
        <v>371</v>
      </c>
      <c r="E358" t="s">
        <v>1412</v>
      </c>
      <c r="F358" t="s">
        <v>21</v>
      </c>
      <c r="G358" t="s">
        <v>876</v>
      </c>
      <c r="H358" t="s">
        <v>877</v>
      </c>
      <c r="I358">
        <v>2</v>
      </c>
      <c r="J358">
        <v>120</v>
      </c>
      <c r="K358">
        <v>1.25</v>
      </c>
      <c r="L358">
        <v>30</v>
      </c>
      <c r="M358">
        <v>10</v>
      </c>
      <c r="N358">
        <v>160</v>
      </c>
      <c r="O358" t="s">
        <v>65</v>
      </c>
      <c r="P358" t="s">
        <v>25</v>
      </c>
    </row>
    <row r="359" spans="1:16" x14ac:dyDescent="0.25">
      <c r="A359" t="s">
        <v>1413</v>
      </c>
      <c r="B359" t="s">
        <v>136</v>
      </c>
      <c r="C359" t="s">
        <v>35</v>
      </c>
      <c r="D359" t="s">
        <v>377</v>
      </c>
      <c r="E359" t="s">
        <v>1414</v>
      </c>
      <c r="F359" t="s">
        <v>21</v>
      </c>
      <c r="G359" t="s">
        <v>1415</v>
      </c>
      <c r="H359" t="s">
        <v>1416</v>
      </c>
      <c r="I359">
        <v>2.5</v>
      </c>
      <c r="J359">
        <v>88</v>
      </c>
      <c r="K359">
        <v>1.25</v>
      </c>
      <c r="L359">
        <v>22</v>
      </c>
      <c r="M359">
        <v>10</v>
      </c>
      <c r="N359">
        <v>120</v>
      </c>
      <c r="O359" t="s">
        <v>72</v>
      </c>
      <c r="P359" t="s">
        <v>73</v>
      </c>
    </row>
    <row r="360" spans="1:16" x14ac:dyDescent="0.25">
      <c r="A360" t="s">
        <v>1417</v>
      </c>
      <c r="B360" t="s">
        <v>142</v>
      </c>
      <c r="C360" t="s">
        <v>43</v>
      </c>
      <c r="D360" t="s">
        <v>383</v>
      </c>
      <c r="E360" t="s">
        <v>1418</v>
      </c>
      <c r="F360" t="s">
        <v>21</v>
      </c>
      <c r="G360" t="s">
        <v>1419</v>
      </c>
      <c r="H360" t="s">
        <v>1420</v>
      </c>
      <c r="I360">
        <v>3</v>
      </c>
      <c r="J360">
        <v>90</v>
      </c>
      <c r="K360">
        <v>1.25</v>
      </c>
      <c r="L360">
        <v>23</v>
      </c>
      <c r="M360">
        <v>10</v>
      </c>
      <c r="N360">
        <v>123</v>
      </c>
      <c r="O360" t="s">
        <v>80</v>
      </c>
      <c r="P360" t="s">
        <v>25</v>
      </c>
    </row>
    <row r="361" spans="1:16" x14ac:dyDescent="0.25">
      <c r="A361" t="s">
        <v>1421</v>
      </c>
      <c r="B361" t="s">
        <v>148</v>
      </c>
      <c r="C361" t="s">
        <v>50</v>
      </c>
      <c r="D361" t="s">
        <v>389</v>
      </c>
      <c r="E361" t="s">
        <v>1422</v>
      </c>
      <c r="F361" t="s">
        <v>38</v>
      </c>
      <c r="G361" t="s">
        <v>888</v>
      </c>
      <c r="H361" t="s">
        <v>889</v>
      </c>
      <c r="I361">
        <v>1</v>
      </c>
      <c r="J361">
        <v>20</v>
      </c>
      <c r="K361">
        <v>1.25</v>
      </c>
      <c r="L361">
        <v>5</v>
      </c>
      <c r="M361">
        <v>10</v>
      </c>
      <c r="N361">
        <v>35</v>
      </c>
      <c r="O361" t="s">
        <v>24</v>
      </c>
      <c r="P361" t="s">
        <v>25</v>
      </c>
    </row>
    <row r="362" spans="1:16" x14ac:dyDescent="0.25">
      <c r="A362" t="s">
        <v>1423</v>
      </c>
      <c r="B362" t="s">
        <v>154</v>
      </c>
      <c r="C362" t="s">
        <v>18</v>
      </c>
      <c r="D362" t="s">
        <v>19</v>
      </c>
      <c r="E362" t="s">
        <v>1424</v>
      </c>
      <c r="F362" t="s">
        <v>38</v>
      </c>
      <c r="G362" t="s">
        <v>1160</v>
      </c>
      <c r="H362" t="s">
        <v>1425</v>
      </c>
      <c r="I362">
        <v>1.5</v>
      </c>
      <c r="J362">
        <v>38</v>
      </c>
      <c r="K362">
        <v>1</v>
      </c>
      <c r="L362">
        <v>0</v>
      </c>
      <c r="M362">
        <v>10</v>
      </c>
      <c r="N362">
        <v>48</v>
      </c>
      <c r="O362" t="s">
        <v>24</v>
      </c>
      <c r="P362" t="s">
        <v>25</v>
      </c>
    </row>
    <row r="363" spans="1:16" x14ac:dyDescent="0.25">
      <c r="A363" t="s">
        <v>1426</v>
      </c>
      <c r="B363" t="s">
        <v>160</v>
      </c>
      <c r="C363" t="s">
        <v>28</v>
      </c>
      <c r="D363" t="s">
        <v>29</v>
      </c>
      <c r="E363" t="s">
        <v>1427</v>
      </c>
      <c r="F363" t="s">
        <v>53</v>
      </c>
      <c r="G363" t="s">
        <v>1428</v>
      </c>
      <c r="H363" t="s">
        <v>1429</v>
      </c>
      <c r="I363">
        <v>2</v>
      </c>
      <c r="J363">
        <v>140</v>
      </c>
      <c r="K363">
        <v>1</v>
      </c>
      <c r="L363">
        <v>0</v>
      </c>
      <c r="M363">
        <v>10</v>
      </c>
      <c r="N363">
        <v>150</v>
      </c>
      <c r="O363" t="s">
        <v>24</v>
      </c>
      <c r="P363" t="s">
        <v>25</v>
      </c>
    </row>
    <row r="364" spans="1:16" x14ac:dyDescent="0.25">
      <c r="A364" t="s">
        <v>1430</v>
      </c>
      <c r="B364" t="s">
        <v>166</v>
      </c>
      <c r="C364" t="s">
        <v>35</v>
      </c>
      <c r="D364" t="s">
        <v>36</v>
      </c>
      <c r="E364" t="s">
        <v>1431</v>
      </c>
      <c r="F364" t="s">
        <v>62</v>
      </c>
      <c r="G364" t="s">
        <v>39</v>
      </c>
      <c r="H364" t="s">
        <v>40</v>
      </c>
      <c r="I364">
        <v>2.5</v>
      </c>
      <c r="J364">
        <v>158</v>
      </c>
      <c r="K364">
        <v>1.25</v>
      </c>
      <c r="L364">
        <v>40</v>
      </c>
      <c r="M364">
        <v>10</v>
      </c>
      <c r="N364">
        <v>208</v>
      </c>
      <c r="O364" t="s">
        <v>24</v>
      </c>
      <c r="P364" t="s">
        <v>25</v>
      </c>
    </row>
    <row r="365" spans="1:16" x14ac:dyDescent="0.25">
      <c r="A365" t="s">
        <v>1432</v>
      </c>
      <c r="B365" t="s">
        <v>172</v>
      </c>
      <c r="C365" t="s">
        <v>43</v>
      </c>
      <c r="D365" t="s">
        <v>44</v>
      </c>
      <c r="E365" t="s">
        <v>1433</v>
      </c>
      <c r="F365" t="s">
        <v>21</v>
      </c>
      <c r="G365" t="s">
        <v>46</v>
      </c>
      <c r="H365" t="s">
        <v>47</v>
      </c>
      <c r="I365">
        <v>3</v>
      </c>
      <c r="J365">
        <v>90</v>
      </c>
      <c r="K365">
        <v>1.25</v>
      </c>
      <c r="L365">
        <v>23</v>
      </c>
      <c r="M365">
        <v>10</v>
      </c>
      <c r="N365">
        <v>123</v>
      </c>
      <c r="O365" t="s">
        <v>24</v>
      </c>
      <c r="P365" t="s">
        <v>25</v>
      </c>
    </row>
    <row r="366" spans="1:16" x14ac:dyDescent="0.25">
      <c r="A366" t="s">
        <v>1434</v>
      </c>
      <c r="B366" t="s">
        <v>178</v>
      </c>
      <c r="C366" t="s">
        <v>50</v>
      </c>
      <c r="D366" t="s">
        <v>51</v>
      </c>
      <c r="E366" t="s">
        <v>1435</v>
      </c>
      <c r="F366" t="s">
        <v>21</v>
      </c>
      <c r="G366" t="s">
        <v>1436</v>
      </c>
      <c r="H366" t="s">
        <v>1437</v>
      </c>
      <c r="I366">
        <v>1</v>
      </c>
      <c r="J366">
        <v>40</v>
      </c>
      <c r="K366">
        <v>1</v>
      </c>
      <c r="L366">
        <v>0</v>
      </c>
      <c r="M366">
        <v>10</v>
      </c>
      <c r="N366">
        <v>25</v>
      </c>
      <c r="O366" t="s">
        <v>56</v>
      </c>
      <c r="P366" t="s">
        <v>57</v>
      </c>
    </row>
    <row r="367" spans="1:16" x14ac:dyDescent="0.25">
      <c r="A367" t="s">
        <v>1438</v>
      </c>
      <c r="B367" t="s">
        <v>184</v>
      </c>
      <c r="C367" t="s">
        <v>18</v>
      </c>
      <c r="D367" t="s">
        <v>60</v>
      </c>
      <c r="E367" t="s">
        <v>1439</v>
      </c>
      <c r="F367" t="s">
        <v>21</v>
      </c>
      <c r="G367" t="s">
        <v>63</v>
      </c>
      <c r="H367" t="s">
        <v>64</v>
      </c>
      <c r="I367">
        <v>1.5</v>
      </c>
      <c r="J367">
        <v>75</v>
      </c>
      <c r="K367">
        <v>1.25</v>
      </c>
      <c r="L367">
        <v>19</v>
      </c>
      <c r="M367">
        <v>10</v>
      </c>
      <c r="N367">
        <v>104</v>
      </c>
      <c r="O367" t="s">
        <v>65</v>
      </c>
      <c r="P367" t="s">
        <v>25</v>
      </c>
    </row>
    <row r="368" spans="1:16" x14ac:dyDescent="0.25">
      <c r="A368" t="s">
        <v>1440</v>
      </c>
      <c r="B368" t="s">
        <v>190</v>
      </c>
      <c r="C368" t="s">
        <v>28</v>
      </c>
      <c r="D368" t="s">
        <v>68</v>
      </c>
      <c r="E368" t="s">
        <v>1441</v>
      </c>
      <c r="F368" t="s">
        <v>38</v>
      </c>
      <c r="G368" t="s">
        <v>1442</v>
      </c>
      <c r="H368" t="s">
        <v>1443</v>
      </c>
      <c r="I368">
        <v>2</v>
      </c>
      <c r="J368">
        <v>60</v>
      </c>
      <c r="K368">
        <v>1.25</v>
      </c>
      <c r="L368">
        <v>15</v>
      </c>
      <c r="M368">
        <v>10</v>
      </c>
      <c r="N368">
        <v>85</v>
      </c>
      <c r="O368" t="s">
        <v>72</v>
      </c>
      <c r="P368" t="s">
        <v>73</v>
      </c>
    </row>
    <row r="369" spans="1:16" x14ac:dyDescent="0.25">
      <c r="A369" t="s">
        <v>1444</v>
      </c>
      <c r="B369" t="s">
        <v>196</v>
      </c>
      <c r="C369" t="s">
        <v>35</v>
      </c>
      <c r="D369" t="s">
        <v>76</v>
      </c>
      <c r="E369" t="s">
        <v>1445</v>
      </c>
      <c r="F369" t="s">
        <v>38</v>
      </c>
      <c r="G369" t="s">
        <v>78</v>
      </c>
      <c r="H369" t="s">
        <v>79</v>
      </c>
      <c r="I369">
        <v>2.5</v>
      </c>
      <c r="J369">
        <v>38</v>
      </c>
      <c r="K369">
        <v>1.25</v>
      </c>
      <c r="L369">
        <v>10</v>
      </c>
      <c r="M369">
        <v>10</v>
      </c>
      <c r="N369">
        <v>58</v>
      </c>
      <c r="O369" t="s">
        <v>80</v>
      </c>
      <c r="P369" t="s">
        <v>25</v>
      </c>
    </row>
    <row r="370" spans="1:16" x14ac:dyDescent="0.25">
      <c r="A370" t="s">
        <v>1446</v>
      </c>
      <c r="B370" t="s">
        <v>202</v>
      </c>
      <c r="C370" t="s">
        <v>43</v>
      </c>
      <c r="D370" t="s">
        <v>83</v>
      </c>
      <c r="E370" t="s">
        <v>1447</v>
      </c>
      <c r="F370" t="s">
        <v>53</v>
      </c>
      <c r="G370" t="s">
        <v>85</v>
      </c>
      <c r="H370" t="s">
        <v>86</v>
      </c>
      <c r="I370">
        <v>3</v>
      </c>
      <c r="J370">
        <v>120</v>
      </c>
      <c r="K370">
        <v>1.25</v>
      </c>
      <c r="L370">
        <v>30</v>
      </c>
      <c r="M370">
        <v>10</v>
      </c>
      <c r="N370">
        <v>160</v>
      </c>
      <c r="O370" t="s">
        <v>24</v>
      </c>
      <c r="P370" t="s">
        <v>25</v>
      </c>
    </row>
    <row r="371" spans="1:16" x14ac:dyDescent="0.25">
      <c r="A371" t="s">
        <v>1448</v>
      </c>
      <c r="B371" t="s">
        <v>208</v>
      </c>
      <c r="C371" t="s">
        <v>50</v>
      </c>
      <c r="D371" t="s">
        <v>89</v>
      </c>
      <c r="E371" t="s">
        <v>1449</v>
      </c>
      <c r="F371" t="s">
        <v>62</v>
      </c>
      <c r="G371" t="s">
        <v>1450</v>
      </c>
      <c r="H371" t="s">
        <v>1451</v>
      </c>
      <c r="I371">
        <v>1</v>
      </c>
      <c r="J371">
        <v>72</v>
      </c>
      <c r="K371">
        <v>1.25</v>
      </c>
      <c r="L371">
        <v>18</v>
      </c>
      <c r="M371">
        <v>10</v>
      </c>
      <c r="N371">
        <v>75</v>
      </c>
      <c r="O371" t="s">
        <v>24</v>
      </c>
      <c r="P371" t="s">
        <v>25</v>
      </c>
    </row>
    <row r="372" spans="1:16" x14ac:dyDescent="0.25">
      <c r="A372" t="s">
        <v>1452</v>
      </c>
      <c r="B372" t="s">
        <v>214</v>
      </c>
      <c r="C372" t="s">
        <v>18</v>
      </c>
      <c r="D372" t="s">
        <v>95</v>
      </c>
      <c r="E372" t="s">
        <v>1453</v>
      </c>
      <c r="F372" t="s">
        <v>21</v>
      </c>
      <c r="G372" t="s">
        <v>1190</v>
      </c>
      <c r="H372" t="s">
        <v>1454</v>
      </c>
      <c r="I372">
        <v>1.5</v>
      </c>
      <c r="J372">
        <v>75</v>
      </c>
      <c r="K372">
        <v>1</v>
      </c>
      <c r="L372">
        <v>0</v>
      </c>
      <c r="M372">
        <v>10</v>
      </c>
      <c r="N372">
        <v>85</v>
      </c>
      <c r="O372" t="s">
        <v>24</v>
      </c>
      <c r="P372" t="s">
        <v>25</v>
      </c>
    </row>
    <row r="373" spans="1:16" x14ac:dyDescent="0.25">
      <c r="A373" t="s">
        <v>1455</v>
      </c>
      <c r="B373" t="s">
        <v>220</v>
      </c>
      <c r="C373" t="s">
        <v>28</v>
      </c>
      <c r="D373" t="s">
        <v>101</v>
      </c>
      <c r="E373" t="s">
        <v>1456</v>
      </c>
      <c r="F373" t="s">
        <v>21</v>
      </c>
      <c r="G373" t="s">
        <v>103</v>
      </c>
      <c r="H373" t="s">
        <v>104</v>
      </c>
      <c r="I373">
        <v>2</v>
      </c>
      <c r="J373">
        <v>120</v>
      </c>
      <c r="K373">
        <v>1.25</v>
      </c>
      <c r="L373">
        <v>30</v>
      </c>
      <c r="M373">
        <v>10</v>
      </c>
      <c r="N373">
        <v>160</v>
      </c>
      <c r="O373" t="s">
        <v>24</v>
      </c>
      <c r="P373" t="s">
        <v>25</v>
      </c>
    </row>
    <row r="374" spans="1:16" x14ac:dyDescent="0.25">
      <c r="A374" t="s">
        <v>1457</v>
      </c>
      <c r="B374" t="s">
        <v>226</v>
      </c>
      <c r="C374" t="s">
        <v>35</v>
      </c>
      <c r="D374" t="s">
        <v>107</v>
      </c>
      <c r="E374" t="s">
        <v>1458</v>
      </c>
      <c r="F374" t="s">
        <v>21</v>
      </c>
      <c r="G374" t="s">
        <v>1459</v>
      </c>
      <c r="H374" t="s">
        <v>1460</v>
      </c>
      <c r="I374">
        <v>2.5</v>
      </c>
      <c r="J374">
        <v>88</v>
      </c>
      <c r="K374">
        <v>1.25</v>
      </c>
      <c r="L374">
        <v>22</v>
      </c>
      <c r="M374">
        <v>10</v>
      </c>
      <c r="N374">
        <v>120</v>
      </c>
      <c r="O374" t="s">
        <v>24</v>
      </c>
      <c r="P374" t="s">
        <v>25</v>
      </c>
    </row>
    <row r="375" spans="1:16" x14ac:dyDescent="0.25">
      <c r="A375" t="s">
        <v>1461</v>
      </c>
      <c r="B375" t="s">
        <v>232</v>
      </c>
      <c r="C375" t="s">
        <v>43</v>
      </c>
      <c r="D375" t="s">
        <v>113</v>
      </c>
      <c r="E375" t="s">
        <v>1462</v>
      </c>
      <c r="F375" t="s">
        <v>38</v>
      </c>
      <c r="G375" t="s">
        <v>1463</v>
      </c>
      <c r="H375" t="s">
        <v>1464</v>
      </c>
      <c r="I375">
        <v>3</v>
      </c>
      <c r="J375">
        <v>30</v>
      </c>
      <c r="K375">
        <v>1</v>
      </c>
      <c r="L375">
        <v>0</v>
      </c>
      <c r="M375">
        <v>10</v>
      </c>
      <c r="N375">
        <v>40</v>
      </c>
      <c r="O375" t="s">
        <v>56</v>
      </c>
      <c r="P375" t="s">
        <v>57</v>
      </c>
    </row>
    <row r="376" spans="1:16" x14ac:dyDescent="0.25">
      <c r="A376" t="s">
        <v>1465</v>
      </c>
      <c r="B376" t="s">
        <v>238</v>
      </c>
      <c r="C376" t="s">
        <v>50</v>
      </c>
      <c r="D376" t="s">
        <v>119</v>
      </c>
      <c r="E376" t="s">
        <v>1466</v>
      </c>
      <c r="F376" t="s">
        <v>38</v>
      </c>
      <c r="G376" t="s">
        <v>121</v>
      </c>
      <c r="H376" t="s">
        <v>1467</v>
      </c>
      <c r="I376">
        <v>48</v>
      </c>
      <c r="J376">
        <v>960</v>
      </c>
      <c r="K376">
        <v>1.25</v>
      </c>
      <c r="L376">
        <v>240</v>
      </c>
      <c r="M376">
        <v>10</v>
      </c>
      <c r="N376">
        <v>1210</v>
      </c>
      <c r="O376" t="s">
        <v>65</v>
      </c>
      <c r="P376" t="s">
        <v>25</v>
      </c>
    </row>
    <row r="377" spans="1:16" x14ac:dyDescent="0.25">
      <c r="A377" t="s">
        <v>1468</v>
      </c>
      <c r="B377" t="s">
        <v>244</v>
      </c>
      <c r="C377" t="s">
        <v>18</v>
      </c>
      <c r="D377" t="s">
        <v>125</v>
      </c>
      <c r="E377" t="s">
        <v>1469</v>
      </c>
      <c r="F377" t="s">
        <v>53</v>
      </c>
      <c r="G377" t="s">
        <v>127</v>
      </c>
      <c r="H377" t="s">
        <v>128</v>
      </c>
      <c r="I377">
        <v>1.5</v>
      </c>
      <c r="J377">
        <v>90</v>
      </c>
      <c r="K377">
        <v>1.25</v>
      </c>
      <c r="L377">
        <v>23</v>
      </c>
      <c r="M377">
        <v>10</v>
      </c>
      <c r="N377">
        <v>123</v>
      </c>
      <c r="O377" t="s">
        <v>72</v>
      </c>
      <c r="P377" t="s">
        <v>73</v>
      </c>
    </row>
    <row r="378" spans="1:16" x14ac:dyDescent="0.25">
      <c r="A378" t="s">
        <v>1470</v>
      </c>
      <c r="B378" t="s">
        <v>250</v>
      </c>
      <c r="C378" t="s">
        <v>28</v>
      </c>
      <c r="D378" t="s">
        <v>131</v>
      </c>
      <c r="E378" t="s">
        <v>1471</v>
      </c>
      <c r="F378" t="s">
        <v>62</v>
      </c>
      <c r="G378" t="s">
        <v>1472</v>
      </c>
      <c r="H378" t="s">
        <v>1473</v>
      </c>
      <c r="I378">
        <v>2</v>
      </c>
      <c r="J378">
        <v>216</v>
      </c>
      <c r="K378">
        <v>1.25</v>
      </c>
      <c r="L378">
        <v>54</v>
      </c>
      <c r="M378">
        <v>10</v>
      </c>
      <c r="N378">
        <v>280</v>
      </c>
      <c r="O378" t="s">
        <v>80</v>
      </c>
      <c r="P378" t="s">
        <v>25</v>
      </c>
    </row>
    <row r="379" spans="1:16" x14ac:dyDescent="0.25">
      <c r="A379" t="s">
        <v>1474</v>
      </c>
      <c r="B379" t="s">
        <v>256</v>
      </c>
      <c r="C379" t="s">
        <v>35</v>
      </c>
      <c r="D379" t="s">
        <v>137</v>
      </c>
      <c r="E379" t="s">
        <v>1475</v>
      </c>
      <c r="F379" t="s">
        <v>21</v>
      </c>
      <c r="G379" t="s">
        <v>139</v>
      </c>
      <c r="H379" t="s">
        <v>140</v>
      </c>
      <c r="I379">
        <v>2.5</v>
      </c>
      <c r="J379">
        <v>88</v>
      </c>
      <c r="K379">
        <v>1.25</v>
      </c>
      <c r="L379">
        <v>22</v>
      </c>
      <c r="M379">
        <v>10</v>
      </c>
      <c r="N379">
        <v>120</v>
      </c>
      <c r="O379" t="s">
        <v>24</v>
      </c>
      <c r="P379" t="s">
        <v>25</v>
      </c>
    </row>
    <row r="380" spans="1:16" x14ac:dyDescent="0.25">
      <c r="A380" t="s">
        <v>1476</v>
      </c>
      <c r="B380" t="s">
        <v>262</v>
      </c>
      <c r="C380" t="s">
        <v>43</v>
      </c>
      <c r="D380" t="s">
        <v>143</v>
      </c>
      <c r="E380" t="s">
        <v>1477</v>
      </c>
      <c r="F380" t="s">
        <v>21</v>
      </c>
      <c r="G380" t="s">
        <v>1478</v>
      </c>
      <c r="H380" t="s">
        <v>1479</v>
      </c>
      <c r="I380">
        <v>3</v>
      </c>
      <c r="J380">
        <v>90</v>
      </c>
      <c r="K380">
        <v>1</v>
      </c>
      <c r="L380">
        <v>0</v>
      </c>
      <c r="M380">
        <v>10</v>
      </c>
      <c r="N380">
        <v>100</v>
      </c>
      <c r="O380" t="s">
        <v>24</v>
      </c>
      <c r="P380" t="s">
        <v>25</v>
      </c>
    </row>
    <row r="381" spans="1:16" x14ac:dyDescent="0.25">
      <c r="A381" t="s">
        <v>1480</v>
      </c>
      <c r="B381" t="s">
        <v>268</v>
      </c>
      <c r="C381" t="s">
        <v>50</v>
      </c>
      <c r="D381" t="s">
        <v>149</v>
      </c>
      <c r="E381" t="s">
        <v>1481</v>
      </c>
      <c r="F381" t="s">
        <v>21</v>
      </c>
      <c r="G381" t="s">
        <v>151</v>
      </c>
      <c r="H381" t="s">
        <v>152</v>
      </c>
      <c r="I381">
        <v>1</v>
      </c>
      <c r="J381">
        <v>40</v>
      </c>
      <c r="K381">
        <v>1.25</v>
      </c>
      <c r="L381">
        <v>10</v>
      </c>
      <c r="M381">
        <v>10</v>
      </c>
      <c r="N381">
        <v>35</v>
      </c>
      <c r="O381" t="s">
        <v>24</v>
      </c>
      <c r="P381" t="s">
        <v>25</v>
      </c>
    </row>
    <row r="382" spans="1:16" x14ac:dyDescent="0.25">
      <c r="A382" t="s">
        <v>1482</v>
      </c>
      <c r="B382" t="s">
        <v>274</v>
      </c>
      <c r="C382" t="s">
        <v>18</v>
      </c>
      <c r="D382" t="s">
        <v>155</v>
      </c>
      <c r="E382" t="s">
        <v>1483</v>
      </c>
      <c r="F382" t="s">
        <v>38</v>
      </c>
      <c r="G382" t="s">
        <v>157</v>
      </c>
      <c r="H382" t="s">
        <v>158</v>
      </c>
      <c r="I382">
        <v>1.5</v>
      </c>
      <c r="J382">
        <v>38</v>
      </c>
      <c r="K382">
        <v>1.25</v>
      </c>
      <c r="L382">
        <v>10</v>
      </c>
      <c r="M382">
        <v>10</v>
      </c>
      <c r="N382">
        <v>58</v>
      </c>
      <c r="O382" t="s">
        <v>24</v>
      </c>
      <c r="P382" t="s">
        <v>25</v>
      </c>
    </row>
    <row r="383" spans="1:16" x14ac:dyDescent="0.25">
      <c r="A383" t="s">
        <v>1484</v>
      </c>
      <c r="B383" t="s">
        <v>280</v>
      </c>
      <c r="C383" t="s">
        <v>28</v>
      </c>
      <c r="D383" t="s">
        <v>161</v>
      </c>
      <c r="E383" t="s">
        <v>1485</v>
      </c>
      <c r="F383" t="s">
        <v>38</v>
      </c>
      <c r="G383" t="s">
        <v>1486</v>
      </c>
      <c r="H383" t="s">
        <v>1487</v>
      </c>
      <c r="I383">
        <v>2</v>
      </c>
      <c r="J383">
        <v>60</v>
      </c>
      <c r="K383">
        <v>1</v>
      </c>
      <c r="L383">
        <v>0</v>
      </c>
      <c r="M383">
        <v>10</v>
      </c>
      <c r="N383">
        <v>70</v>
      </c>
      <c r="O383" t="s">
        <v>24</v>
      </c>
      <c r="P383" t="s">
        <v>25</v>
      </c>
    </row>
    <row r="384" spans="1:16" x14ac:dyDescent="0.25">
      <c r="A384" t="s">
        <v>1488</v>
      </c>
      <c r="B384" t="s">
        <v>286</v>
      </c>
      <c r="C384" t="s">
        <v>35</v>
      </c>
      <c r="D384" t="s">
        <v>167</v>
      </c>
      <c r="E384" t="s">
        <v>1489</v>
      </c>
      <c r="F384" t="s">
        <v>53</v>
      </c>
      <c r="G384" t="s">
        <v>1490</v>
      </c>
      <c r="H384" t="s">
        <v>1491</v>
      </c>
      <c r="I384">
        <v>2.5</v>
      </c>
      <c r="J384">
        <v>113</v>
      </c>
      <c r="K384">
        <v>1.25</v>
      </c>
      <c r="L384">
        <v>28</v>
      </c>
      <c r="M384">
        <v>10</v>
      </c>
      <c r="N384">
        <v>151</v>
      </c>
      <c r="O384" t="s">
        <v>56</v>
      </c>
      <c r="P384" t="s">
        <v>57</v>
      </c>
    </row>
    <row r="385" spans="1:16" x14ac:dyDescent="0.25">
      <c r="A385" t="s">
        <v>1492</v>
      </c>
      <c r="B385" t="s">
        <v>292</v>
      </c>
      <c r="C385" t="s">
        <v>43</v>
      </c>
      <c r="D385" t="s">
        <v>173</v>
      </c>
      <c r="E385" t="s">
        <v>1493</v>
      </c>
      <c r="F385" t="s">
        <v>62</v>
      </c>
      <c r="G385" t="s">
        <v>175</v>
      </c>
      <c r="H385" t="s">
        <v>176</v>
      </c>
      <c r="I385">
        <v>3</v>
      </c>
      <c r="J385">
        <v>162</v>
      </c>
      <c r="K385">
        <v>1.25</v>
      </c>
      <c r="L385">
        <v>41</v>
      </c>
      <c r="M385">
        <v>10</v>
      </c>
      <c r="N385">
        <v>213</v>
      </c>
      <c r="O385" t="s">
        <v>65</v>
      </c>
      <c r="P385" t="s">
        <v>25</v>
      </c>
    </row>
    <row r="386" spans="1:16" x14ac:dyDescent="0.25">
      <c r="A386" t="s">
        <v>1494</v>
      </c>
      <c r="B386" t="s">
        <v>298</v>
      </c>
      <c r="C386" t="s">
        <v>50</v>
      </c>
      <c r="D386" t="s">
        <v>179</v>
      </c>
      <c r="E386" t="s">
        <v>1495</v>
      </c>
      <c r="F386" t="s">
        <v>21</v>
      </c>
      <c r="G386" t="s">
        <v>1496</v>
      </c>
      <c r="H386" t="s">
        <v>1497</v>
      </c>
      <c r="I386">
        <v>1</v>
      </c>
      <c r="J386">
        <v>40</v>
      </c>
      <c r="K386">
        <v>1</v>
      </c>
      <c r="L386">
        <v>0</v>
      </c>
      <c r="M386">
        <v>10</v>
      </c>
      <c r="N386">
        <v>50</v>
      </c>
      <c r="O386" t="s">
        <v>72</v>
      </c>
      <c r="P386" t="s">
        <v>73</v>
      </c>
    </row>
    <row r="387" spans="1:16" x14ac:dyDescent="0.25">
      <c r="A387" t="s">
        <v>1498</v>
      </c>
      <c r="B387" t="s">
        <v>304</v>
      </c>
      <c r="C387" t="s">
        <v>18</v>
      </c>
      <c r="D387" t="s">
        <v>185</v>
      </c>
      <c r="E387" t="s">
        <v>1499</v>
      </c>
      <c r="F387" t="s">
        <v>21</v>
      </c>
      <c r="G387" t="s">
        <v>1500</v>
      </c>
      <c r="H387" t="s">
        <v>1501</v>
      </c>
      <c r="I387">
        <v>1.5</v>
      </c>
      <c r="J387">
        <v>75</v>
      </c>
      <c r="K387">
        <v>1.25</v>
      </c>
      <c r="L387">
        <v>19</v>
      </c>
      <c r="M387">
        <v>10</v>
      </c>
      <c r="N387">
        <v>104</v>
      </c>
      <c r="O387" t="s">
        <v>80</v>
      </c>
      <c r="P387" t="s">
        <v>25</v>
      </c>
    </row>
    <row r="388" spans="1:16" x14ac:dyDescent="0.25">
      <c r="A388" t="s">
        <v>1502</v>
      </c>
      <c r="B388" t="s">
        <v>310</v>
      </c>
      <c r="C388" t="s">
        <v>28</v>
      </c>
      <c r="D388" t="s">
        <v>191</v>
      </c>
      <c r="E388" t="s">
        <v>1503</v>
      </c>
      <c r="F388" t="s">
        <v>21</v>
      </c>
      <c r="G388" t="s">
        <v>193</v>
      </c>
      <c r="H388" t="s">
        <v>194</v>
      </c>
      <c r="I388">
        <v>2</v>
      </c>
      <c r="J388">
        <v>120</v>
      </c>
      <c r="K388">
        <v>1.25</v>
      </c>
      <c r="L388">
        <v>30</v>
      </c>
      <c r="M388">
        <v>10</v>
      </c>
      <c r="N388">
        <v>160</v>
      </c>
      <c r="O388" t="s">
        <v>24</v>
      </c>
      <c r="P388" t="s">
        <v>25</v>
      </c>
    </row>
    <row r="389" spans="1:16" x14ac:dyDescent="0.25">
      <c r="A389" t="s">
        <v>1504</v>
      </c>
      <c r="B389" t="s">
        <v>316</v>
      </c>
      <c r="C389" t="s">
        <v>35</v>
      </c>
      <c r="D389" t="s">
        <v>197</v>
      </c>
      <c r="E389" t="s">
        <v>1505</v>
      </c>
      <c r="F389" t="s">
        <v>38</v>
      </c>
      <c r="G389" t="s">
        <v>199</v>
      </c>
      <c r="H389" t="s">
        <v>200</v>
      </c>
      <c r="I389">
        <v>2.5</v>
      </c>
      <c r="J389">
        <v>38</v>
      </c>
      <c r="K389">
        <v>1.25</v>
      </c>
      <c r="L389">
        <v>10</v>
      </c>
      <c r="M389">
        <v>10</v>
      </c>
      <c r="N389">
        <v>58</v>
      </c>
      <c r="O389" t="s">
        <v>24</v>
      </c>
      <c r="P389" t="s">
        <v>25</v>
      </c>
    </row>
    <row r="390" spans="1:16" x14ac:dyDescent="0.25">
      <c r="A390" t="s">
        <v>1506</v>
      </c>
      <c r="B390" t="s">
        <v>322</v>
      </c>
      <c r="C390" t="s">
        <v>43</v>
      </c>
      <c r="D390" t="s">
        <v>203</v>
      </c>
      <c r="E390" t="s">
        <v>1507</v>
      </c>
      <c r="F390" t="s">
        <v>38</v>
      </c>
      <c r="G390" t="s">
        <v>1508</v>
      </c>
      <c r="H390" t="s">
        <v>1509</v>
      </c>
      <c r="I390">
        <v>3</v>
      </c>
      <c r="J390">
        <v>30</v>
      </c>
      <c r="K390">
        <v>1</v>
      </c>
      <c r="L390">
        <v>0</v>
      </c>
      <c r="M390">
        <v>10</v>
      </c>
      <c r="N390">
        <v>40</v>
      </c>
      <c r="O390" t="s">
        <v>24</v>
      </c>
      <c r="P390" t="s">
        <v>25</v>
      </c>
    </row>
    <row r="391" spans="1:16" x14ac:dyDescent="0.25">
      <c r="A391" t="s">
        <v>1510</v>
      </c>
      <c r="B391" t="s">
        <v>328</v>
      </c>
      <c r="C391" t="s">
        <v>50</v>
      </c>
      <c r="D391" t="s">
        <v>209</v>
      </c>
      <c r="E391" t="s">
        <v>1511</v>
      </c>
      <c r="F391" t="s">
        <v>53</v>
      </c>
      <c r="G391" t="s">
        <v>211</v>
      </c>
      <c r="H391" t="s">
        <v>212</v>
      </c>
      <c r="I391">
        <v>1</v>
      </c>
      <c r="J391">
        <v>50</v>
      </c>
      <c r="K391">
        <v>1.25</v>
      </c>
      <c r="L391">
        <v>13</v>
      </c>
      <c r="M391">
        <v>10</v>
      </c>
      <c r="N391">
        <v>48</v>
      </c>
      <c r="O391" t="s">
        <v>24</v>
      </c>
      <c r="P391" t="s">
        <v>25</v>
      </c>
    </row>
    <row r="392" spans="1:16" x14ac:dyDescent="0.25">
      <c r="A392" t="s">
        <v>1512</v>
      </c>
      <c r="B392" t="s">
        <v>334</v>
      </c>
      <c r="C392" t="s">
        <v>18</v>
      </c>
      <c r="D392" t="s">
        <v>215</v>
      </c>
      <c r="E392" t="s">
        <v>1513</v>
      </c>
      <c r="F392" t="s">
        <v>62</v>
      </c>
      <c r="G392" t="s">
        <v>1514</v>
      </c>
      <c r="H392" t="s">
        <v>1515</v>
      </c>
      <c r="I392">
        <v>1.5</v>
      </c>
      <c r="J392">
        <v>135</v>
      </c>
      <c r="K392">
        <v>1.25</v>
      </c>
      <c r="L392">
        <v>34</v>
      </c>
      <c r="M392">
        <v>10</v>
      </c>
      <c r="N392">
        <v>179</v>
      </c>
      <c r="O392" t="s">
        <v>24</v>
      </c>
      <c r="P392" t="s">
        <v>25</v>
      </c>
    </row>
    <row r="393" spans="1:16" x14ac:dyDescent="0.25">
      <c r="A393" t="s">
        <v>1516</v>
      </c>
      <c r="B393" t="s">
        <v>340</v>
      </c>
      <c r="C393" t="s">
        <v>28</v>
      </c>
      <c r="D393" t="s">
        <v>221</v>
      </c>
      <c r="E393" t="s">
        <v>1517</v>
      </c>
      <c r="F393" t="s">
        <v>21</v>
      </c>
      <c r="G393" t="s">
        <v>223</v>
      </c>
      <c r="H393" t="s">
        <v>224</v>
      </c>
      <c r="I393">
        <v>2</v>
      </c>
      <c r="J393">
        <v>120</v>
      </c>
      <c r="K393">
        <v>1.25</v>
      </c>
      <c r="L393">
        <v>30</v>
      </c>
      <c r="M393">
        <v>10</v>
      </c>
      <c r="N393">
        <v>160</v>
      </c>
      <c r="O393" t="s">
        <v>56</v>
      </c>
      <c r="P393" t="s">
        <v>57</v>
      </c>
    </row>
    <row r="394" spans="1:16" x14ac:dyDescent="0.25">
      <c r="A394" t="s">
        <v>1518</v>
      </c>
      <c r="B394" t="s">
        <v>346</v>
      </c>
      <c r="C394" t="s">
        <v>35</v>
      </c>
      <c r="D394" t="s">
        <v>227</v>
      </c>
      <c r="E394" t="s">
        <v>1519</v>
      </c>
      <c r="F394" t="s">
        <v>21</v>
      </c>
      <c r="G394" t="s">
        <v>229</v>
      </c>
      <c r="H394" t="s">
        <v>230</v>
      </c>
      <c r="I394">
        <v>2.5</v>
      </c>
      <c r="J394">
        <v>88</v>
      </c>
      <c r="K394">
        <v>1.25</v>
      </c>
      <c r="L394">
        <v>22</v>
      </c>
      <c r="M394">
        <v>10</v>
      </c>
      <c r="N394">
        <v>120</v>
      </c>
      <c r="O394" t="s">
        <v>65</v>
      </c>
      <c r="P394" t="s">
        <v>25</v>
      </c>
    </row>
    <row r="395" spans="1:16" x14ac:dyDescent="0.25">
      <c r="A395" t="s">
        <v>1520</v>
      </c>
      <c r="B395" t="s">
        <v>352</v>
      </c>
      <c r="C395" t="s">
        <v>43</v>
      </c>
      <c r="D395" t="s">
        <v>233</v>
      </c>
      <c r="E395" t="s">
        <v>1521</v>
      </c>
      <c r="F395" t="s">
        <v>21</v>
      </c>
      <c r="G395" t="s">
        <v>1522</v>
      </c>
      <c r="H395" t="s">
        <v>1523</v>
      </c>
      <c r="I395">
        <v>3</v>
      </c>
      <c r="J395">
        <v>90</v>
      </c>
      <c r="K395">
        <v>1.25</v>
      </c>
      <c r="L395">
        <v>23</v>
      </c>
      <c r="M395">
        <v>10</v>
      </c>
      <c r="N395">
        <v>123</v>
      </c>
      <c r="O395" t="s">
        <v>72</v>
      </c>
      <c r="P395" t="s">
        <v>73</v>
      </c>
    </row>
    <row r="396" spans="1:16" x14ac:dyDescent="0.25">
      <c r="A396" t="s">
        <v>1524</v>
      </c>
      <c r="B396" t="s">
        <v>358</v>
      </c>
      <c r="C396" t="s">
        <v>50</v>
      </c>
      <c r="D396" t="s">
        <v>239</v>
      </c>
      <c r="E396" t="s">
        <v>1525</v>
      </c>
      <c r="F396" t="s">
        <v>38</v>
      </c>
      <c r="G396" t="s">
        <v>1526</v>
      </c>
      <c r="H396" t="s">
        <v>1527</v>
      </c>
      <c r="I396">
        <v>1</v>
      </c>
      <c r="J396">
        <v>20</v>
      </c>
      <c r="K396">
        <v>1.25</v>
      </c>
      <c r="L396">
        <v>5</v>
      </c>
      <c r="M396">
        <v>10</v>
      </c>
      <c r="N396">
        <v>10</v>
      </c>
      <c r="O396" t="s">
        <v>80</v>
      </c>
      <c r="P396" t="s">
        <v>25</v>
      </c>
    </row>
    <row r="397" spans="1:16" x14ac:dyDescent="0.25">
      <c r="A397" t="s">
        <v>1528</v>
      </c>
      <c r="B397" t="s">
        <v>364</v>
      </c>
      <c r="C397" t="s">
        <v>18</v>
      </c>
      <c r="D397" t="s">
        <v>245</v>
      </c>
      <c r="E397" t="s">
        <v>1529</v>
      </c>
      <c r="F397" t="s">
        <v>38</v>
      </c>
      <c r="G397" t="s">
        <v>247</v>
      </c>
      <c r="H397" t="s">
        <v>248</v>
      </c>
      <c r="I397">
        <v>1.5</v>
      </c>
      <c r="J397">
        <v>38</v>
      </c>
      <c r="K397">
        <v>1.25</v>
      </c>
      <c r="L397">
        <v>10</v>
      </c>
      <c r="M397">
        <v>10</v>
      </c>
      <c r="N397">
        <v>58</v>
      </c>
      <c r="O397" t="s">
        <v>24</v>
      </c>
      <c r="P397" t="s">
        <v>25</v>
      </c>
    </row>
    <row r="398" spans="1:16" x14ac:dyDescent="0.25">
      <c r="A398" t="s">
        <v>1530</v>
      </c>
      <c r="B398" t="s">
        <v>370</v>
      </c>
      <c r="C398" t="s">
        <v>28</v>
      </c>
      <c r="D398" t="s">
        <v>251</v>
      </c>
      <c r="E398" t="s">
        <v>1531</v>
      </c>
      <c r="F398" t="s">
        <v>53</v>
      </c>
      <c r="G398" t="s">
        <v>1532</v>
      </c>
      <c r="H398" t="s">
        <v>1533</v>
      </c>
      <c r="I398">
        <v>2</v>
      </c>
      <c r="J398">
        <v>140</v>
      </c>
      <c r="K398">
        <v>1.25</v>
      </c>
      <c r="L398">
        <v>35</v>
      </c>
      <c r="M398">
        <v>10</v>
      </c>
      <c r="N398">
        <v>185</v>
      </c>
      <c r="O398" t="s">
        <v>24</v>
      </c>
      <c r="P398" t="s">
        <v>25</v>
      </c>
    </row>
    <row r="399" spans="1:16" x14ac:dyDescent="0.25">
      <c r="A399" t="s">
        <v>1534</v>
      </c>
      <c r="B399" t="s">
        <v>376</v>
      </c>
      <c r="C399" t="s">
        <v>35</v>
      </c>
      <c r="D399" t="s">
        <v>257</v>
      </c>
      <c r="E399" t="s">
        <v>1535</v>
      </c>
      <c r="F399" t="s">
        <v>62</v>
      </c>
      <c r="G399" t="s">
        <v>1536</v>
      </c>
      <c r="H399" t="s">
        <v>1537</v>
      </c>
      <c r="I399">
        <v>2.5</v>
      </c>
      <c r="J399">
        <v>158</v>
      </c>
      <c r="K399">
        <v>1.25</v>
      </c>
      <c r="L399">
        <v>40</v>
      </c>
      <c r="M399">
        <v>10</v>
      </c>
      <c r="N399">
        <v>208</v>
      </c>
      <c r="O399" t="s">
        <v>24</v>
      </c>
      <c r="P399" t="s">
        <v>25</v>
      </c>
    </row>
    <row r="400" spans="1:16" x14ac:dyDescent="0.25">
      <c r="A400" t="s">
        <v>1538</v>
      </c>
      <c r="B400" t="s">
        <v>382</v>
      </c>
      <c r="C400" t="s">
        <v>43</v>
      </c>
      <c r="D400" t="s">
        <v>263</v>
      </c>
      <c r="E400" t="s">
        <v>1539</v>
      </c>
      <c r="F400" t="s">
        <v>21</v>
      </c>
      <c r="G400" t="s">
        <v>265</v>
      </c>
      <c r="H400" t="s">
        <v>266</v>
      </c>
      <c r="I400">
        <v>3</v>
      </c>
      <c r="J400">
        <v>90</v>
      </c>
      <c r="K400">
        <v>1.25</v>
      </c>
      <c r="L400">
        <v>23</v>
      </c>
      <c r="M400">
        <v>10</v>
      </c>
      <c r="N400">
        <v>123</v>
      </c>
      <c r="O400" t="s">
        <v>24</v>
      </c>
      <c r="P400" t="s">
        <v>25</v>
      </c>
    </row>
    <row r="401" spans="1:16" x14ac:dyDescent="0.25">
      <c r="A401" t="s">
        <v>1540</v>
      </c>
      <c r="B401" t="s">
        <v>388</v>
      </c>
      <c r="C401" t="s">
        <v>50</v>
      </c>
      <c r="D401" t="s">
        <v>269</v>
      </c>
      <c r="E401" t="s">
        <v>1541</v>
      </c>
      <c r="F401" t="s">
        <v>21</v>
      </c>
      <c r="G401" t="s">
        <v>271</v>
      </c>
      <c r="H401" t="s">
        <v>272</v>
      </c>
      <c r="I401">
        <v>1</v>
      </c>
      <c r="J401">
        <v>40</v>
      </c>
      <c r="K401">
        <v>1.25</v>
      </c>
      <c r="L401">
        <v>10</v>
      </c>
      <c r="M401">
        <v>10</v>
      </c>
      <c r="N401">
        <v>35</v>
      </c>
      <c r="O401" t="s">
        <v>24</v>
      </c>
      <c r="P401" t="s">
        <v>25</v>
      </c>
    </row>
    <row r="402" spans="1:16" x14ac:dyDescent="0.25">
      <c r="A402" t="s">
        <v>1542</v>
      </c>
      <c r="B402" t="s">
        <v>394</v>
      </c>
      <c r="C402" t="s">
        <v>18</v>
      </c>
      <c r="D402" t="s">
        <v>275</v>
      </c>
      <c r="E402" t="s">
        <v>1543</v>
      </c>
      <c r="F402" t="s">
        <v>21</v>
      </c>
      <c r="G402" t="s">
        <v>1544</v>
      </c>
      <c r="H402" t="s">
        <v>1545</v>
      </c>
      <c r="I402">
        <v>1.5</v>
      </c>
      <c r="J402">
        <v>75</v>
      </c>
      <c r="K402">
        <v>1.25</v>
      </c>
      <c r="L402">
        <v>19</v>
      </c>
      <c r="M402">
        <v>10</v>
      </c>
      <c r="N402">
        <v>104</v>
      </c>
      <c r="O402" t="s">
        <v>56</v>
      </c>
      <c r="P402" t="s">
        <v>57</v>
      </c>
    </row>
    <row r="403" spans="1:16" x14ac:dyDescent="0.25">
      <c r="A403" t="s">
        <v>1546</v>
      </c>
      <c r="B403" t="s">
        <v>399</v>
      </c>
      <c r="C403" t="s">
        <v>28</v>
      </c>
      <c r="D403" t="s">
        <v>281</v>
      </c>
      <c r="E403" t="s">
        <v>1547</v>
      </c>
      <c r="F403" t="s">
        <v>38</v>
      </c>
      <c r="G403" t="s">
        <v>283</v>
      </c>
      <c r="H403" t="s">
        <v>1015</v>
      </c>
      <c r="I403">
        <v>2</v>
      </c>
      <c r="J403">
        <v>60</v>
      </c>
      <c r="K403">
        <v>1.25</v>
      </c>
      <c r="L403">
        <v>15</v>
      </c>
      <c r="M403">
        <v>10</v>
      </c>
      <c r="N403">
        <v>85</v>
      </c>
      <c r="O403" t="s">
        <v>65</v>
      </c>
      <c r="P403" t="s">
        <v>25</v>
      </c>
    </row>
    <row r="404" spans="1:16" x14ac:dyDescent="0.25">
      <c r="A404" t="s">
        <v>1548</v>
      </c>
      <c r="B404" t="s">
        <v>404</v>
      </c>
      <c r="C404" t="s">
        <v>35</v>
      </c>
      <c r="D404" t="s">
        <v>287</v>
      </c>
      <c r="E404" t="s">
        <v>1549</v>
      </c>
      <c r="F404" t="s">
        <v>38</v>
      </c>
      <c r="G404" t="s">
        <v>1284</v>
      </c>
      <c r="H404" t="s">
        <v>1550</v>
      </c>
      <c r="I404">
        <v>2.5</v>
      </c>
      <c r="J404">
        <v>38</v>
      </c>
      <c r="K404">
        <v>1</v>
      </c>
      <c r="L404">
        <v>0</v>
      </c>
      <c r="M404">
        <v>10</v>
      </c>
      <c r="N404">
        <v>48</v>
      </c>
      <c r="O404" t="s">
        <v>72</v>
      </c>
      <c r="P404" t="s">
        <v>73</v>
      </c>
    </row>
    <row r="405" spans="1:16" x14ac:dyDescent="0.25">
      <c r="A405" t="s">
        <v>1551</v>
      </c>
      <c r="B405" t="s">
        <v>409</v>
      </c>
      <c r="C405" t="s">
        <v>43</v>
      </c>
      <c r="D405" t="s">
        <v>293</v>
      </c>
      <c r="E405" t="s">
        <v>1552</v>
      </c>
      <c r="F405" t="s">
        <v>53</v>
      </c>
      <c r="G405" t="s">
        <v>295</v>
      </c>
      <c r="H405" t="s">
        <v>296</v>
      </c>
      <c r="I405">
        <v>3</v>
      </c>
      <c r="J405">
        <v>120</v>
      </c>
      <c r="K405">
        <v>1.25</v>
      </c>
      <c r="L405">
        <v>30</v>
      </c>
      <c r="M405">
        <v>10</v>
      </c>
      <c r="N405">
        <v>160</v>
      </c>
      <c r="O405" t="s">
        <v>80</v>
      </c>
      <c r="P405" t="s">
        <v>25</v>
      </c>
    </row>
    <row r="406" spans="1:16" x14ac:dyDescent="0.25">
      <c r="A406" t="s">
        <v>1553</v>
      </c>
      <c r="B406" t="s">
        <v>414</v>
      </c>
      <c r="C406" t="s">
        <v>50</v>
      </c>
      <c r="D406" t="s">
        <v>299</v>
      </c>
      <c r="E406" t="s">
        <v>1554</v>
      </c>
      <c r="F406" t="s">
        <v>62</v>
      </c>
      <c r="G406" t="s">
        <v>301</v>
      </c>
      <c r="H406" t="s">
        <v>302</v>
      </c>
      <c r="I406">
        <v>1</v>
      </c>
      <c r="J406">
        <v>72</v>
      </c>
      <c r="K406">
        <v>1.25</v>
      </c>
      <c r="L406">
        <v>18</v>
      </c>
      <c r="M406">
        <v>10</v>
      </c>
      <c r="N406">
        <v>75</v>
      </c>
      <c r="O406" t="s">
        <v>24</v>
      </c>
      <c r="P406" t="s">
        <v>25</v>
      </c>
    </row>
    <row r="407" spans="1:16" x14ac:dyDescent="0.25">
      <c r="A407" t="s">
        <v>1555</v>
      </c>
      <c r="B407" t="s">
        <v>419</v>
      </c>
      <c r="C407" t="s">
        <v>18</v>
      </c>
      <c r="D407" t="s">
        <v>305</v>
      </c>
      <c r="E407" t="s">
        <v>1556</v>
      </c>
      <c r="F407" t="s">
        <v>21</v>
      </c>
      <c r="G407" t="s">
        <v>1557</v>
      </c>
      <c r="H407" t="s">
        <v>1558</v>
      </c>
      <c r="I407">
        <v>1.5</v>
      </c>
      <c r="J407">
        <v>75</v>
      </c>
      <c r="K407">
        <v>1</v>
      </c>
      <c r="L407">
        <v>0</v>
      </c>
      <c r="M407">
        <v>10</v>
      </c>
      <c r="N407">
        <v>85</v>
      </c>
      <c r="O407" t="s">
        <v>24</v>
      </c>
      <c r="P407" t="s">
        <v>25</v>
      </c>
    </row>
    <row r="408" spans="1:16" x14ac:dyDescent="0.25">
      <c r="A408" t="s">
        <v>1559</v>
      </c>
      <c r="B408" t="s">
        <v>424</v>
      </c>
      <c r="C408" t="s">
        <v>28</v>
      </c>
      <c r="D408" t="s">
        <v>311</v>
      </c>
      <c r="E408" t="s">
        <v>1560</v>
      </c>
      <c r="F408" t="s">
        <v>21</v>
      </c>
      <c r="G408" t="s">
        <v>1561</v>
      </c>
      <c r="H408" t="s">
        <v>1562</v>
      </c>
      <c r="I408">
        <v>2</v>
      </c>
      <c r="J408">
        <v>120</v>
      </c>
      <c r="K408">
        <v>1</v>
      </c>
      <c r="L408">
        <v>0</v>
      </c>
      <c r="M408">
        <v>10</v>
      </c>
      <c r="N408">
        <v>130</v>
      </c>
      <c r="O408" t="s">
        <v>24</v>
      </c>
      <c r="P408" t="s">
        <v>25</v>
      </c>
    </row>
    <row r="409" spans="1:16" x14ac:dyDescent="0.25">
      <c r="A409" t="s">
        <v>1563</v>
      </c>
      <c r="B409" t="s">
        <v>429</v>
      </c>
      <c r="C409" t="s">
        <v>35</v>
      </c>
      <c r="D409" t="s">
        <v>317</v>
      </c>
      <c r="E409" t="s">
        <v>1564</v>
      </c>
      <c r="F409" t="s">
        <v>21</v>
      </c>
      <c r="G409" t="s">
        <v>319</v>
      </c>
      <c r="H409" t="s">
        <v>320</v>
      </c>
      <c r="I409">
        <v>2.5</v>
      </c>
      <c r="J409">
        <v>88</v>
      </c>
      <c r="K409">
        <v>1.25</v>
      </c>
      <c r="L409">
        <v>22</v>
      </c>
      <c r="M409">
        <v>10</v>
      </c>
      <c r="N409">
        <v>120</v>
      </c>
      <c r="O409" t="s">
        <v>24</v>
      </c>
      <c r="P409" t="s">
        <v>25</v>
      </c>
    </row>
    <row r="410" spans="1:16" x14ac:dyDescent="0.25">
      <c r="A410" t="s">
        <v>1565</v>
      </c>
      <c r="B410" t="s">
        <v>434</v>
      </c>
      <c r="C410" t="s">
        <v>43</v>
      </c>
      <c r="D410" t="s">
        <v>323</v>
      </c>
      <c r="E410" t="s">
        <v>1566</v>
      </c>
      <c r="F410" t="s">
        <v>38</v>
      </c>
      <c r="G410" t="s">
        <v>1567</v>
      </c>
      <c r="H410" t="s">
        <v>1568</v>
      </c>
      <c r="I410">
        <v>3</v>
      </c>
      <c r="J410">
        <v>30</v>
      </c>
      <c r="K410">
        <v>1.25</v>
      </c>
      <c r="L410">
        <v>8</v>
      </c>
      <c r="M410">
        <v>10</v>
      </c>
      <c r="N410">
        <v>48</v>
      </c>
      <c r="O410" t="s">
        <v>24</v>
      </c>
      <c r="P410" t="s">
        <v>25</v>
      </c>
    </row>
    <row r="411" spans="1:16" x14ac:dyDescent="0.25">
      <c r="A411" t="s">
        <v>1569</v>
      </c>
      <c r="B411" t="s">
        <v>439</v>
      </c>
      <c r="C411" t="s">
        <v>50</v>
      </c>
      <c r="D411" t="s">
        <v>329</v>
      </c>
      <c r="E411" t="s">
        <v>1570</v>
      </c>
      <c r="F411" t="s">
        <v>38</v>
      </c>
      <c r="G411" t="s">
        <v>1571</v>
      </c>
      <c r="H411" t="s">
        <v>1572</v>
      </c>
      <c r="I411">
        <v>1</v>
      </c>
      <c r="J411">
        <v>20</v>
      </c>
      <c r="K411">
        <v>1</v>
      </c>
      <c r="L411">
        <v>0</v>
      </c>
      <c r="M411">
        <v>10</v>
      </c>
      <c r="N411">
        <v>30</v>
      </c>
      <c r="O411" t="s">
        <v>56</v>
      </c>
      <c r="P411" t="s">
        <v>57</v>
      </c>
    </row>
    <row r="412" spans="1:16" x14ac:dyDescent="0.25">
      <c r="A412" t="s">
        <v>1573</v>
      </c>
      <c r="B412" t="s">
        <v>444</v>
      </c>
      <c r="C412" t="s">
        <v>18</v>
      </c>
      <c r="D412" t="s">
        <v>335</v>
      </c>
      <c r="E412" t="s">
        <v>1574</v>
      </c>
      <c r="F412" t="s">
        <v>53</v>
      </c>
      <c r="G412" t="s">
        <v>337</v>
      </c>
      <c r="H412" t="s">
        <v>338</v>
      </c>
      <c r="I412">
        <v>1.5</v>
      </c>
      <c r="J412">
        <v>90</v>
      </c>
      <c r="K412">
        <v>1.25</v>
      </c>
      <c r="L412">
        <v>23</v>
      </c>
      <c r="M412">
        <v>10</v>
      </c>
      <c r="N412">
        <v>123</v>
      </c>
      <c r="O412" t="s">
        <v>65</v>
      </c>
      <c r="P412" t="s">
        <v>25</v>
      </c>
    </row>
    <row r="413" spans="1:16" x14ac:dyDescent="0.25">
      <c r="A413" t="s">
        <v>1575</v>
      </c>
      <c r="B413" t="s">
        <v>449</v>
      </c>
      <c r="C413" t="s">
        <v>28</v>
      </c>
      <c r="D413" t="s">
        <v>341</v>
      </c>
      <c r="E413" t="s">
        <v>1576</v>
      </c>
      <c r="F413" t="s">
        <v>62</v>
      </c>
      <c r="G413" t="s">
        <v>343</v>
      </c>
      <c r="H413" t="s">
        <v>344</v>
      </c>
      <c r="I413">
        <v>2</v>
      </c>
      <c r="J413">
        <v>216</v>
      </c>
      <c r="K413">
        <v>1.25</v>
      </c>
      <c r="L413">
        <v>54</v>
      </c>
      <c r="M413">
        <v>10</v>
      </c>
      <c r="N413">
        <v>280</v>
      </c>
      <c r="O413" t="s">
        <v>72</v>
      </c>
      <c r="P413" t="s">
        <v>73</v>
      </c>
    </row>
    <row r="414" spans="1:16" x14ac:dyDescent="0.25">
      <c r="A414" t="s">
        <v>1577</v>
      </c>
      <c r="B414" t="s">
        <v>454</v>
      </c>
      <c r="C414" t="s">
        <v>35</v>
      </c>
      <c r="D414" t="s">
        <v>347</v>
      </c>
      <c r="E414" t="s">
        <v>1578</v>
      </c>
      <c r="F414" t="s">
        <v>21</v>
      </c>
      <c r="G414" t="s">
        <v>1314</v>
      </c>
      <c r="H414" t="s">
        <v>1579</v>
      </c>
      <c r="I414">
        <v>2.5</v>
      </c>
      <c r="J414">
        <v>88</v>
      </c>
      <c r="K414">
        <v>1</v>
      </c>
      <c r="L414">
        <v>0</v>
      </c>
      <c r="M414">
        <v>10</v>
      </c>
      <c r="N414">
        <v>98</v>
      </c>
      <c r="O414" t="s">
        <v>80</v>
      </c>
      <c r="P414" t="s">
        <v>25</v>
      </c>
    </row>
    <row r="415" spans="1:16" x14ac:dyDescent="0.25">
      <c r="A415" t="s">
        <v>1580</v>
      </c>
      <c r="B415" t="s">
        <v>459</v>
      </c>
      <c r="C415" t="s">
        <v>43</v>
      </c>
      <c r="D415" t="s">
        <v>353</v>
      </c>
      <c r="E415" t="s">
        <v>1581</v>
      </c>
      <c r="F415" t="s">
        <v>21</v>
      </c>
      <c r="G415" t="s">
        <v>355</v>
      </c>
      <c r="H415" t="s">
        <v>356</v>
      </c>
      <c r="I415">
        <v>3</v>
      </c>
      <c r="J415">
        <v>90</v>
      </c>
      <c r="K415">
        <v>1.25</v>
      </c>
      <c r="L415">
        <v>23</v>
      </c>
      <c r="M415">
        <v>10</v>
      </c>
      <c r="N415">
        <v>123</v>
      </c>
      <c r="O415" t="s">
        <v>24</v>
      </c>
      <c r="P415" t="s">
        <v>25</v>
      </c>
    </row>
    <row r="416" spans="1:16" x14ac:dyDescent="0.25">
      <c r="A416" t="s">
        <v>1582</v>
      </c>
      <c r="B416" t="s">
        <v>464</v>
      </c>
      <c r="C416" t="s">
        <v>50</v>
      </c>
      <c r="D416" t="s">
        <v>359</v>
      </c>
      <c r="E416" t="s">
        <v>1583</v>
      </c>
      <c r="F416" t="s">
        <v>21</v>
      </c>
      <c r="G416" t="s">
        <v>1584</v>
      </c>
      <c r="H416" t="s">
        <v>1585</v>
      </c>
      <c r="I416">
        <v>1</v>
      </c>
      <c r="J416">
        <v>40</v>
      </c>
      <c r="K416">
        <v>1.25</v>
      </c>
      <c r="L416">
        <v>10</v>
      </c>
      <c r="M416">
        <v>10</v>
      </c>
      <c r="N416">
        <v>35</v>
      </c>
      <c r="O416" t="s">
        <v>24</v>
      </c>
      <c r="P416" t="s">
        <v>25</v>
      </c>
    </row>
    <row r="417" spans="1:16" x14ac:dyDescent="0.25">
      <c r="A417" t="s">
        <v>1586</v>
      </c>
      <c r="B417" t="s">
        <v>469</v>
      </c>
      <c r="C417" t="s">
        <v>18</v>
      </c>
      <c r="D417" t="s">
        <v>365</v>
      </c>
      <c r="E417" t="s">
        <v>1587</v>
      </c>
      <c r="F417" t="s">
        <v>38</v>
      </c>
      <c r="G417" t="s">
        <v>367</v>
      </c>
      <c r="H417" t="s">
        <v>368</v>
      </c>
      <c r="I417">
        <v>1.5</v>
      </c>
      <c r="J417">
        <v>38</v>
      </c>
      <c r="K417">
        <v>1.25</v>
      </c>
      <c r="L417">
        <v>10</v>
      </c>
      <c r="M417">
        <v>10</v>
      </c>
      <c r="N417">
        <v>58</v>
      </c>
      <c r="O417" t="s">
        <v>24</v>
      </c>
      <c r="P417" t="s">
        <v>25</v>
      </c>
    </row>
    <row r="418" spans="1:16" x14ac:dyDescent="0.25">
      <c r="A418" t="s">
        <v>1588</v>
      </c>
      <c r="B418" t="s">
        <v>474</v>
      </c>
      <c r="C418" t="s">
        <v>28</v>
      </c>
      <c r="D418" t="s">
        <v>371</v>
      </c>
      <c r="E418" t="s">
        <v>1589</v>
      </c>
      <c r="F418" t="s">
        <v>38</v>
      </c>
      <c r="G418" t="s">
        <v>373</v>
      </c>
      <c r="H418" t="s">
        <v>374</v>
      </c>
      <c r="I418">
        <v>2</v>
      </c>
      <c r="J418">
        <v>60</v>
      </c>
      <c r="K418">
        <v>1.25</v>
      </c>
      <c r="L418">
        <v>15</v>
      </c>
      <c r="M418">
        <v>10</v>
      </c>
      <c r="N418">
        <v>85</v>
      </c>
      <c r="O418" t="s">
        <v>24</v>
      </c>
      <c r="P418" t="s">
        <v>25</v>
      </c>
    </row>
    <row r="419" spans="1:16" x14ac:dyDescent="0.25">
      <c r="A419" t="s">
        <v>1590</v>
      </c>
      <c r="B419" t="s">
        <v>479</v>
      </c>
      <c r="C419" t="s">
        <v>35</v>
      </c>
      <c r="D419" t="s">
        <v>377</v>
      </c>
      <c r="E419" t="s">
        <v>1591</v>
      </c>
      <c r="F419" t="s">
        <v>53</v>
      </c>
      <c r="G419" t="s">
        <v>1592</v>
      </c>
      <c r="H419" t="s">
        <v>1593</v>
      </c>
      <c r="I419">
        <v>2.5</v>
      </c>
      <c r="J419">
        <v>113</v>
      </c>
      <c r="K419">
        <v>1</v>
      </c>
      <c r="L419">
        <v>0</v>
      </c>
      <c r="M419">
        <v>10</v>
      </c>
      <c r="N419">
        <v>123</v>
      </c>
      <c r="O419" t="s">
        <v>24</v>
      </c>
      <c r="P419" t="s">
        <v>25</v>
      </c>
    </row>
    <row r="420" spans="1:16" x14ac:dyDescent="0.25">
      <c r="A420" t="s">
        <v>1594</v>
      </c>
      <c r="B420" t="s">
        <v>484</v>
      </c>
      <c r="C420" t="s">
        <v>43</v>
      </c>
      <c r="D420" t="s">
        <v>383</v>
      </c>
      <c r="E420" t="s">
        <v>1595</v>
      </c>
      <c r="F420" t="s">
        <v>62</v>
      </c>
      <c r="G420" t="s">
        <v>1596</v>
      </c>
      <c r="H420" t="s">
        <v>1597</v>
      </c>
      <c r="I420">
        <v>3</v>
      </c>
      <c r="J420">
        <v>162</v>
      </c>
      <c r="K420">
        <v>1.25</v>
      </c>
      <c r="L420">
        <v>41</v>
      </c>
      <c r="M420">
        <v>10</v>
      </c>
      <c r="N420">
        <v>213</v>
      </c>
      <c r="O420" t="s">
        <v>56</v>
      </c>
      <c r="P420" t="s">
        <v>57</v>
      </c>
    </row>
    <row r="421" spans="1:16" x14ac:dyDescent="0.25">
      <c r="A421" t="s">
        <v>1598</v>
      </c>
      <c r="B421" t="s">
        <v>489</v>
      </c>
      <c r="C421" t="s">
        <v>50</v>
      </c>
      <c r="D421" t="s">
        <v>389</v>
      </c>
      <c r="E421" t="s">
        <v>1599</v>
      </c>
      <c r="F421" t="s">
        <v>21</v>
      </c>
      <c r="G421" t="s">
        <v>391</v>
      </c>
      <c r="H421" t="s">
        <v>392</v>
      </c>
      <c r="I421">
        <v>1</v>
      </c>
      <c r="J421">
        <v>40</v>
      </c>
      <c r="K421">
        <v>1.25</v>
      </c>
      <c r="L421">
        <v>10</v>
      </c>
      <c r="M421">
        <v>10</v>
      </c>
      <c r="N421">
        <v>60</v>
      </c>
      <c r="O421" t="s">
        <v>65</v>
      </c>
      <c r="P421" t="s">
        <v>25</v>
      </c>
    </row>
    <row r="422" spans="1:16" x14ac:dyDescent="0.25">
      <c r="A422" t="s">
        <v>1600</v>
      </c>
      <c r="B422" t="s">
        <v>494</v>
      </c>
      <c r="C422" t="s">
        <v>18</v>
      </c>
      <c r="D422" t="s">
        <v>19</v>
      </c>
      <c r="E422" t="s">
        <v>1601</v>
      </c>
      <c r="F422" t="s">
        <v>21</v>
      </c>
      <c r="G422" t="s">
        <v>1338</v>
      </c>
      <c r="H422" t="s">
        <v>1602</v>
      </c>
      <c r="I422">
        <v>1.5</v>
      </c>
      <c r="J422">
        <v>75</v>
      </c>
      <c r="K422">
        <v>1</v>
      </c>
      <c r="L422">
        <v>0</v>
      </c>
      <c r="M422">
        <v>10</v>
      </c>
      <c r="N422">
        <v>85</v>
      </c>
      <c r="O422" t="s">
        <v>72</v>
      </c>
      <c r="P422" t="s">
        <v>73</v>
      </c>
    </row>
    <row r="423" spans="1:16" x14ac:dyDescent="0.25">
      <c r="A423" t="s">
        <v>1603</v>
      </c>
      <c r="B423" t="s">
        <v>499</v>
      </c>
      <c r="C423" t="s">
        <v>28</v>
      </c>
      <c r="D423" t="s">
        <v>29</v>
      </c>
      <c r="E423" t="s">
        <v>1604</v>
      </c>
      <c r="F423" t="s">
        <v>21</v>
      </c>
      <c r="G423" t="s">
        <v>1605</v>
      </c>
      <c r="H423" t="s">
        <v>1606</v>
      </c>
      <c r="I423">
        <v>2</v>
      </c>
      <c r="J423">
        <v>120</v>
      </c>
      <c r="K423">
        <v>1.25</v>
      </c>
      <c r="L423">
        <v>30</v>
      </c>
      <c r="M423">
        <v>10</v>
      </c>
      <c r="N423">
        <v>160</v>
      </c>
      <c r="O423" t="s">
        <v>80</v>
      </c>
      <c r="P423" t="s">
        <v>25</v>
      </c>
    </row>
    <row r="424" spans="1:16" x14ac:dyDescent="0.25">
      <c r="A424" t="s">
        <v>1607</v>
      </c>
      <c r="B424" t="s">
        <v>504</v>
      </c>
      <c r="C424" t="s">
        <v>35</v>
      </c>
      <c r="D424" t="s">
        <v>36</v>
      </c>
      <c r="E424" t="s">
        <v>1608</v>
      </c>
      <c r="F424" t="s">
        <v>38</v>
      </c>
      <c r="G424" t="s">
        <v>406</v>
      </c>
      <c r="H424" t="s">
        <v>407</v>
      </c>
      <c r="I424">
        <v>2.5</v>
      </c>
      <c r="J424">
        <v>38</v>
      </c>
      <c r="K424">
        <v>1.25</v>
      </c>
      <c r="L424">
        <v>10</v>
      </c>
      <c r="M424">
        <v>10</v>
      </c>
      <c r="N424">
        <v>58</v>
      </c>
      <c r="O424" t="s">
        <v>24</v>
      </c>
      <c r="P424" t="s">
        <v>25</v>
      </c>
    </row>
    <row r="425" spans="1:16" x14ac:dyDescent="0.25">
      <c r="A425" t="s">
        <v>1609</v>
      </c>
      <c r="B425" t="s">
        <v>509</v>
      </c>
      <c r="C425" t="s">
        <v>43</v>
      </c>
      <c r="D425" t="s">
        <v>44</v>
      </c>
      <c r="E425" t="s">
        <v>1610</v>
      </c>
      <c r="F425" t="s">
        <v>38</v>
      </c>
      <c r="G425" t="s">
        <v>411</v>
      </c>
      <c r="H425" t="s">
        <v>412</v>
      </c>
      <c r="I425">
        <v>3</v>
      </c>
      <c r="J425">
        <v>30</v>
      </c>
      <c r="K425">
        <v>1.25</v>
      </c>
      <c r="L425">
        <v>8</v>
      </c>
      <c r="M425">
        <v>10</v>
      </c>
      <c r="N425">
        <v>48</v>
      </c>
      <c r="O425" t="s">
        <v>24</v>
      </c>
      <c r="P425" t="s">
        <v>25</v>
      </c>
    </row>
    <row r="426" spans="1:16" x14ac:dyDescent="0.25">
      <c r="A426" t="s">
        <v>1611</v>
      </c>
      <c r="B426" t="s">
        <v>514</v>
      </c>
      <c r="C426" t="s">
        <v>50</v>
      </c>
      <c r="D426" t="s">
        <v>51</v>
      </c>
      <c r="E426" t="s">
        <v>1612</v>
      </c>
      <c r="F426" t="s">
        <v>53</v>
      </c>
      <c r="G426" t="s">
        <v>1613</v>
      </c>
      <c r="H426" t="s">
        <v>1614</v>
      </c>
      <c r="I426">
        <v>1</v>
      </c>
      <c r="J426">
        <v>50</v>
      </c>
      <c r="K426">
        <v>1.25</v>
      </c>
      <c r="L426">
        <v>13</v>
      </c>
      <c r="M426">
        <v>10</v>
      </c>
      <c r="N426">
        <v>48</v>
      </c>
      <c r="O426" t="s">
        <v>24</v>
      </c>
      <c r="P426" t="s">
        <v>25</v>
      </c>
    </row>
    <row r="427" spans="1:16" x14ac:dyDescent="0.25">
      <c r="A427" t="s">
        <v>1615</v>
      </c>
      <c r="B427" t="s">
        <v>17</v>
      </c>
      <c r="C427" t="s">
        <v>18</v>
      </c>
      <c r="D427" t="s">
        <v>60</v>
      </c>
      <c r="E427" t="s">
        <v>1616</v>
      </c>
      <c r="F427" t="s">
        <v>62</v>
      </c>
      <c r="G427" t="s">
        <v>421</v>
      </c>
      <c r="H427" t="s">
        <v>422</v>
      </c>
      <c r="I427">
        <v>1.5</v>
      </c>
      <c r="J427">
        <v>135</v>
      </c>
      <c r="K427">
        <v>1.25</v>
      </c>
      <c r="L427">
        <v>34</v>
      </c>
      <c r="M427">
        <v>10</v>
      </c>
      <c r="N427">
        <v>179</v>
      </c>
      <c r="O427" t="s">
        <v>24</v>
      </c>
      <c r="P427" t="s">
        <v>25</v>
      </c>
    </row>
    <row r="428" spans="1:16" x14ac:dyDescent="0.25">
      <c r="A428" t="s">
        <v>1617</v>
      </c>
      <c r="B428" t="s">
        <v>27</v>
      </c>
      <c r="C428" t="s">
        <v>28</v>
      </c>
      <c r="D428" t="s">
        <v>68</v>
      </c>
      <c r="E428" t="s">
        <v>1618</v>
      </c>
      <c r="F428" t="s">
        <v>21</v>
      </c>
      <c r="G428" t="s">
        <v>1619</v>
      </c>
      <c r="H428" t="s">
        <v>1620</v>
      </c>
      <c r="I428">
        <v>2</v>
      </c>
      <c r="J428">
        <v>120</v>
      </c>
      <c r="K428">
        <v>1</v>
      </c>
      <c r="L428">
        <v>0</v>
      </c>
      <c r="M428">
        <v>10</v>
      </c>
      <c r="N428">
        <v>130</v>
      </c>
      <c r="O428" t="s">
        <v>24</v>
      </c>
      <c r="P428" t="s">
        <v>25</v>
      </c>
    </row>
    <row r="429" spans="1:16" x14ac:dyDescent="0.25">
      <c r="A429" t="s">
        <v>1621</v>
      </c>
      <c r="B429" t="s">
        <v>34</v>
      </c>
      <c r="C429" t="s">
        <v>35</v>
      </c>
      <c r="D429" t="s">
        <v>76</v>
      </c>
      <c r="E429" t="s">
        <v>1622</v>
      </c>
      <c r="F429" t="s">
        <v>21</v>
      </c>
      <c r="G429" t="s">
        <v>431</v>
      </c>
      <c r="H429" t="s">
        <v>432</v>
      </c>
      <c r="I429">
        <v>2.5</v>
      </c>
      <c r="J429">
        <v>88</v>
      </c>
      <c r="K429">
        <v>1.25</v>
      </c>
      <c r="L429">
        <v>22</v>
      </c>
      <c r="M429">
        <v>10</v>
      </c>
      <c r="N429">
        <v>120</v>
      </c>
      <c r="O429" t="s">
        <v>56</v>
      </c>
      <c r="P429" t="s">
        <v>57</v>
      </c>
    </row>
    <row r="430" spans="1:16" x14ac:dyDescent="0.25">
      <c r="A430" t="s">
        <v>1623</v>
      </c>
      <c r="B430" t="s">
        <v>42</v>
      </c>
      <c r="C430" t="s">
        <v>43</v>
      </c>
      <c r="D430" t="s">
        <v>83</v>
      </c>
      <c r="E430" t="s">
        <v>1624</v>
      </c>
      <c r="F430" t="s">
        <v>21</v>
      </c>
      <c r="G430" t="s">
        <v>436</v>
      </c>
      <c r="H430" t="s">
        <v>437</v>
      </c>
      <c r="I430">
        <v>3</v>
      </c>
      <c r="J430">
        <v>90</v>
      </c>
      <c r="K430">
        <v>1.25</v>
      </c>
      <c r="L430">
        <v>23</v>
      </c>
      <c r="M430">
        <v>10</v>
      </c>
      <c r="N430">
        <v>123</v>
      </c>
      <c r="O430" t="s">
        <v>65</v>
      </c>
      <c r="P430" t="s">
        <v>25</v>
      </c>
    </row>
    <row r="431" spans="1:16" x14ac:dyDescent="0.25">
      <c r="A431" t="s">
        <v>1625</v>
      </c>
      <c r="B431" t="s">
        <v>49</v>
      </c>
      <c r="C431" t="s">
        <v>50</v>
      </c>
      <c r="D431" t="s">
        <v>89</v>
      </c>
      <c r="E431" t="s">
        <v>1626</v>
      </c>
      <c r="F431" t="s">
        <v>38</v>
      </c>
      <c r="G431" t="s">
        <v>1627</v>
      </c>
      <c r="H431" t="s">
        <v>1628</v>
      </c>
      <c r="I431">
        <v>1</v>
      </c>
      <c r="J431">
        <v>20</v>
      </c>
      <c r="K431">
        <v>1</v>
      </c>
      <c r="L431">
        <v>0</v>
      </c>
      <c r="M431">
        <v>10</v>
      </c>
      <c r="N431">
        <v>30</v>
      </c>
      <c r="O431" t="s">
        <v>72</v>
      </c>
      <c r="P431" t="s">
        <v>73</v>
      </c>
    </row>
    <row r="432" spans="1:16" x14ac:dyDescent="0.25">
      <c r="A432" t="s">
        <v>1629</v>
      </c>
      <c r="B432" t="s">
        <v>59</v>
      </c>
      <c r="C432" t="s">
        <v>18</v>
      </c>
      <c r="D432" t="s">
        <v>95</v>
      </c>
      <c r="E432" t="s">
        <v>1630</v>
      </c>
      <c r="F432" t="s">
        <v>38</v>
      </c>
      <c r="G432" t="s">
        <v>1368</v>
      </c>
      <c r="H432" t="s">
        <v>1631</v>
      </c>
      <c r="I432">
        <v>1.5</v>
      </c>
      <c r="J432">
        <v>38</v>
      </c>
      <c r="K432">
        <v>1</v>
      </c>
      <c r="L432">
        <v>0</v>
      </c>
      <c r="M432">
        <v>10</v>
      </c>
      <c r="N432">
        <v>48</v>
      </c>
      <c r="O432" t="s">
        <v>80</v>
      </c>
      <c r="P432" t="s">
        <v>25</v>
      </c>
    </row>
    <row r="433" spans="1:16" x14ac:dyDescent="0.25">
      <c r="A433" t="s">
        <v>1632</v>
      </c>
      <c r="B433" t="s">
        <v>67</v>
      </c>
      <c r="C433" t="s">
        <v>28</v>
      </c>
      <c r="D433" t="s">
        <v>101</v>
      </c>
      <c r="E433" t="s">
        <v>1633</v>
      </c>
      <c r="F433" t="s">
        <v>53</v>
      </c>
      <c r="G433" t="s">
        <v>451</v>
      </c>
      <c r="H433" t="s">
        <v>452</v>
      </c>
      <c r="I433">
        <v>2</v>
      </c>
      <c r="J433">
        <v>140</v>
      </c>
      <c r="K433">
        <v>1.25</v>
      </c>
      <c r="L433">
        <v>35</v>
      </c>
      <c r="M433">
        <v>10</v>
      </c>
      <c r="N433">
        <v>185</v>
      </c>
      <c r="O433" t="s">
        <v>24</v>
      </c>
      <c r="P433" t="s">
        <v>25</v>
      </c>
    </row>
    <row r="434" spans="1:16" x14ac:dyDescent="0.25">
      <c r="A434" t="s">
        <v>1634</v>
      </c>
      <c r="B434" t="s">
        <v>75</v>
      </c>
      <c r="C434" t="s">
        <v>35</v>
      </c>
      <c r="D434" t="s">
        <v>107</v>
      </c>
      <c r="E434" t="s">
        <v>1635</v>
      </c>
      <c r="F434" t="s">
        <v>62</v>
      </c>
      <c r="G434" t="s">
        <v>1636</v>
      </c>
      <c r="H434" t="s">
        <v>1637</v>
      </c>
      <c r="I434">
        <v>2.5</v>
      </c>
      <c r="J434">
        <v>158</v>
      </c>
      <c r="K434">
        <v>1.25</v>
      </c>
      <c r="L434">
        <v>40</v>
      </c>
      <c r="M434">
        <v>10</v>
      </c>
      <c r="N434">
        <v>208</v>
      </c>
      <c r="O434" t="s">
        <v>24</v>
      </c>
      <c r="P434" t="s">
        <v>25</v>
      </c>
    </row>
    <row r="435" spans="1:16" x14ac:dyDescent="0.25">
      <c r="A435" t="s">
        <v>1638</v>
      </c>
      <c r="B435" t="s">
        <v>82</v>
      </c>
      <c r="C435" t="s">
        <v>43</v>
      </c>
      <c r="D435" t="s">
        <v>113</v>
      </c>
      <c r="E435" t="s">
        <v>1639</v>
      </c>
      <c r="F435" t="s">
        <v>21</v>
      </c>
      <c r="G435" t="s">
        <v>1640</v>
      </c>
      <c r="H435" t="s">
        <v>1641</v>
      </c>
      <c r="I435">
        <v>3</v>
      </c>
      <c r="J435">
        <v>90</v>
      </c>
      <c r="K435">
        <v>1</v>
      </c>
      <c r="L435">
        <v>0</v>
      </c>
      <c r="M435">
        <v>10</v>
      </c>
      <c r="N435">
        <v>100</v>
      </c>
      <c r="O435" t="s">
        <v>24</v>
      </c>
      <c r="P435" t="s">
        <v>25</v>
      </c>
    </row>
    <row r="436" spans="1:16" x14ac:dyDescent="0.25">
      <c r="A436" t="s">
        <v>1642</v>
      </c>
      <c r="B436" t="s">
        <v>88</v>
      </c>
      <c r="C436" t="s">
        <v>50</v>
      </c>
      <c r="D436" t="s">
        <v>119</v>
      </c>
      <c r="E436" t="s">
        <v>1643</v>
      </c>
      <c r="F436" t="s">
        <v>21</v>
      </c>
      <c r="G436" t="s">
        <v>466</v>
      </c>
      <c r="H436" t="s">
        <v>467</v>
      </c>
      <c r="I436">
        <v>1</v>
      </c>
      <c r="J436">
        <v>40</v>
      </c>
      <c r="K436">
        <v>1.25</v>
      </c>
      <c r="L436">
        <v>10</v>
      </c>
      <c r="M436">
        <v>10</v>
      </c>
      <c r="N436">
        <v>35</v>
      </c>
      <c r="O436" t="s">
        <v>24</v>
      </c>
      <c r="P436" t="s">
        <v>25</v>
      </c>
    </row>
    <row r="437" spans="1:16" x14ac:dyDescent="0.25">
      <c r="A437" t="s">
        <v>1644</v>
      </c>
      <c r="B437" t="s">
        <v>94</v>
      </c>
      <c r="C437" t="s">
        <v>18</v>
      </c>
      <c r="D437" t="s">
        <v>125</v>
      </c>
      <c r="E437" t="s">
        <v>1645</v>
      </c>
      <c r="F437" t="s">
        <v>21</v>
      </c>
      <c r="G437" t="s">
        <v>471</v>
      </c>
      <c r="H437" t="s">
        <v>472</v>
      </c>
      <c r="I437">
        <v>1.5</v>
      </c>
      <c r="J437">
        <v>75</v>
      </c>
      <c r="K437">
        <v>1.25</v>
      </c>
      <c r="L437">
        <v>19</v>
      </c>
      <c r="M437">
        <v>10</v>
      </c>
      <c r="N437">
        <v>104</v>
      </c>
      <c r="O437" t="s">
        <v>24</v>
      </c>
      <c r="P437" t="s">
        <v>25</v>
      </c>
    </row>
    <row r="438" spans="1:16" x14ac:dyDescent="0.25">
      <c r="A438" t="s">
        <v>1646</v>
      </c>
      <c r="B438" t="s">
        <v>100</v>
      </c>
      <c r="C438" t="s">
        <v>28</v>
      </c>
      <c r="D438" t="s">
        <v>131</v>
      </c>
      <c r="E438" t="s">
        <v>1647</v>
      </c>
      <c r="F438" t="s">
        <v>38</v>
      </c>
      <c r="G438" t="s">
        <v>1648</v>
      </c>
      <c r="H438" t="s">
        <v>1649</v>
      </c>
      <c r="I438">
        <v>2</v>
      </c>
      <c r="J438">
        <v>60</v>
      </c>
      <c r="K438">
        <v>1.25</v>
      </c>
      <c r="L438">
        <v>15</v>
      </c>
      <c r="M438">
        <v>10</v>
      </c>
      <c r="N438">
        <v>85</v>
      </c>
      <c r="O438" t="s">
        <v>56</v>
      </c>
      <c r="P438" t="s">
        <v>57</v>
      </c>
    </row>
    <row r="439" spans="1:16" x14ac:dyDescent="0.25">
      <c r="A439" t="s">
        <v>1650</v>
      </c>
      <c r="B439" t="s">
        <v>106</v>
      </c>
      <c r="C439" t="s">
        <v>35</v>
      </c>
      <c r="D439" t="s">
        <v>137</v>
      </c>
      <c r="E439" t="s">
        <v>1651</v>
      </c>
      <c r="F439" t="s">
        <v>38</v>
      </c>
      <c r="G439" t="s">
        <v>481</v>
      </c>
      <c r="H439" t="s">
        <v>482</v>
      </c>
      <c r="I439">
        <v>2.5</v>
      </c>
      <c r="J439">
        <v>38</v>
      </c>
      <c r="K439">
        <v>1.25</v>
      </c>
      <c r="L439">
        <v>10</v>
      </c>
      <c r="M439">
        <v>10</v>
      </c>
      <c r="N439">
        <v>58</v>
      </c>
      <c r="O439" t="s">
        <v>65</v>
      </c>
      <c r="P439" t="s">
        <v>25</v>
      </c>
    </row>
    <row r="440" spans="1:16" x14ac:dyDescent="0.25">
      <c r="A440" t="s">
        <v>1652</v>
      </c>
      <c r="B440" t="s">
        <v>112</v>
      </c>
      <c r="C440" t="s">
        <v>43</v>
      </c>
      <c r="D440" t="s">
        <v>143</v>
      </c>
      <c r="E440" t="s">
        <v>1653</v>
      </c>
      <c r="F440" t="s">
        <v>53</v>
      </c>
      <c r="G440" t="s">
        <v>1654</v>
      </c>
      <c r="H440" t="s">
        <v>1655</v>
      </c>
      <c r="I440">
        <v>3</v>
      </c>
      <c r="J440">
        <v>120</v>
      </c>
      <c r="K440">
        <v>1.25</v>
      </c>
      <c r="L440">
        <v>30</v>
      </c>
      <c r="M440">
        <v>10</v>
      </c>
      <c r="N440">
        <v>160</v>
      </c>
      <c r="O440" t="s">
        <v>72</v>
      </c>
      <c r="P440" t="s">
        <v>73</v>
      </c>
    </row>
    <row r="441" spans="1:16" x14ac:dyDescent="0.25">
      <c r="A441" t="s">
        <v>1656</v>
      </c>
      <c r="B441" t="s">
        <v>118</v>
      </c>
      <c r="C441" t="s">
        <v>50</v>
      </c>
      <c r="D441" t="s">
        <v>149</v>
      </c>
      <c r="E441" t="s">
        <v>1657</v>
      </c>
      <c r="F441" t="s">
        <v>62</v>
      </c>
      <c r="G441" t="s">
        <v>491</v>
      </c>
      <c r="H441" t="s">
        <v>492</v>
      </c>
      <c r="I441">
        <v>1</v>
      </c>
      <c r="J441">
        <v>72</v>
      </c>
      <c r="K441">
        <v>1.25</v>
      </c>
      <c r="L441">
        <v>18</v>
      </c>
      <c r="M441">
        <v>10</v>
      </c>
      <c r="N441">
        <v>100</v>
      </c>
      <c r="O441" t="s">
        <v>80</v>
      </c>
      <c r="P441" t="s">
        <v>25</v>
      </c>
    </row>
    <row r="442" spans="1:16" x14ac:dyDescent="0.25">
      <c r="A442" t="s">
        <v>1658</v>
      </c>
      <c r="B442" t="s">
        <v>124</v>
      </c>
      <c r="C442" t="s">
        <v>18</v>
      </c>
      <c r="D442" t="s">
        <v>155</v>
      </c>
      <c r="E442" t="s">
        <v>1659</v>
      </c>
      <c r="F442" t="s">
        <v>21</v>
      </c>
      <c r="G442" t="s">
        <v>496</v>
      </c>
      <c r="H442" t="s">
        <v>497</v>
      </c>
      <c r="I442">
        <v>1.5</v>
      </c>
      <c r="J442">
        <v>75</v>
      </c>
      <c r="K442">
        <v>1.25</v>
      </c>
      <c r="L442">
        <v>19</v>
      </c>
      <c r="M442">
        <v>10</v>
      </c>
      <c r="N442">
        <v>104</v>
      </c>
      <c r="O442" t="s">
        <v>24</v>
      </c>
      <c r="P442" t="s">
        <v>25</v>
      </c>
    </row>
    <row r="443" spans="1:16" x14ac:dyDescent="0.25">
      <c r="A443" t="s">
        <v>1660</v>
      </c>
      <c r="B443" t="s">
        <v>130</v>
      </c>
      <c r="C443" t="s">
        <v>28</v>
      </c>
      <c r="D443" t="s">
        <v>161</v>
      </c>
      <c r="E443" t="s">
        <v>1661</v>
      </c>
      <c r="F443" t="s">
        <v>21</v>
      </c>
      <c r="G443" t="s">
        <v>1662</v>
      </c>
      <c r="H443" t="s">
        <v>1663</v>
      </c>
      <c r="I443">
        <v>2</v>
      </c>
      <c r="J443">
        <v>120</v>
      </c>
      <c r="K443">
        <v>1.25</v>
      </c>
      <c r="L443">
        <v>30</v>
      </c>
      <c r="M443">
        <v>10</v>
      </c>
      <c r="N443">
        <v>160</v>
      </c>
      <c r="O443" t="s">
        <v>24</v>
      </c>
      <c r="P443" t="s">
        <v>25</v>
      </c>
    </row>
    <row r="444" spans="1:16" x14ac:dyDescent="0.25">
      <c r="A444" t="s">
        <v>1664</v>
      </c>
      <c r="B444" t="s">
        <v>136</v>
      </c>
      <c r="C444" t="s">
        <v>35</v>
      </c>
      <c r="D444" t="s">
        <v>167</v>
      </c>
      <c r="E444" t="s">
        <v>1665</v>
      </c>
      <c r="F444" t="s">
        <v>21</v>
      </c>
      <c r="G444" t="s">
        <v>1666</v>
      </c>
      <c r="H444" t="s">
        <v>1667</v>
      </c>
      <c r="I444">
        <v>2.5</v>
      </c>
      <c r="J444">
        <v>88</v>
      </c>
      <c r="K444">
        <v>1.25</v>
      </c>
      <c r="L444">
        <v>22</v>
      </c>
      <c r="M444">
        <v>10</v>
      </c>
      <c r="N444">
        <v>120</v>
      </c>
      <c r="O444" t="s">
        <v>24</v>
      </c>
      <c r="P444" t="s">
        <v>25</v>
      </c>
    </row>
    <row r="445" spans="1:16" x14ac:dyDescent="0.25">
      <c r="A445" t="s">
        <v>1668</v>
      </c>
      <c r="B445" t="s">
        <v>142</v>
      </c>
      <c r="C445" t="s">
        <v>43</v>
      </c>
      <c r="D445" t="s">
        <v>173</v>
      </c>
      <c r="E445" t="s">
        <v>1669</v>
      </c>
      <c r="F445" t="s">
        <v>38</v>
      </c>
      <c r="G445" t="s">
        <v>511</v>
      </c>
      <c r="H445" t="s">
        <v>512</v>
      </c>
      <c r="I445">
        <v>3</v>
      </c>
      <c r="J445">
        <v>30</v>
      </c>
      <c r="K445">
        <v>1.25</v>
      </c>
      <c r="L445">
        <v>8</v>
      </c>
      <c r="M445">
        <v>10</v>
      </c>
      <c r="N445">
        <v>48</v>
      </c>
      <c r="O445" t="s">
        <v>24</v>
      </c>
      <c r="P445" t="s">
        <v>25</v>
      </c>
    </row>
    <row r="446" spans="1:16" x14ac:dyDescent="0.25">
      <c r="A446" t="s">
        <v>1670</v>
      </c>
      <c r="B446" t="s">
        <v>148</v>
      </c>
      <c r="C446" t="s">
        <v>50</v>
      </c>
      <c r="D446" t="s">
        <v>179</v>
      </c>
      <c r="E446" t="s">
        <v>1671</v>
      </c>
      <c r="F446" t="s">
        <v>38</v>
      </c>
      <c r="G446" t="s">
        <v>1672</v>
      </c>
      <c r="H446" t="s">
        <v>1673</v>
      </c>
      <c r="I446">
        <v>1</v>
      </c>
      <c r="J446">
        <v>20</v>
      </c>
      <c r="K446">
        <v>1</v>
      </c>
      <c r="L446">
        <v>0</v>
      </c>
      <c r="M446">
        <v>10</v>
      </c>
      <c r="N446">
        <v>30</v>
      </c>
      <c r="O446" t="s">
        <v>24</v>
      </c>
      <c r="P446" t="s">
        <v>25</v>
      </c>
    </row>
    <row r="447" spans="1:16" x14ac:dyDescent="0.25">
      <c r="A447" t="s">
        <v>1674</v>
      </c>
      <c r="B447" t="s">
        <v>154</v>
      </c>
      <c r="C447" t="s">
        <v>18</v>
      </c>
      <c r="D447" t="s">
        <v>185</v>
      </c>
      <c r="E447" t="s">
        <v>1675</v>
      </c>
      <c r="F447" t="s">
        <v>53</v>
      </c>
      <c r="G447" t="s">
        <v>1676</v>
      </c>
      <c r="H447" t="s">
        <v>1677</v>
      </c>
      <c r="I447">
        <v>1.5</v>
      </c>
      <c r="J447">
        <v>90</v>
      </c>
      <c r="K447">
        <v>1</v>
      </c>
      <c r="L447">
        <v>0</v>
      </c>
      <c r="M447">
        <v>10</v>
      </c>
      <c r="N447">
        <v>100</v>
      </c>
      <c r="O447" t="s">
        <v>56</v>
      </c>
      <c r="P447" t="s">
        <v>57</v>
      </c>
    </row>
    <row r="448" spans="1:16" x14ac:dyDescent="0.25">
      <c r="A448" t="s">
        <v>1678</v>
      </c>
      <c r="B448" t="s">
        <v>160</v>
      </c>
      <c r="C448" t="s">
        <v>28</v>
      </c>
      <c r="D448" t="s">
        <v>191</v>
      </c>
      <c r="E448" t="s">
        <v>1679</v>
      </c>
      <c r="F448" t="s">
        <v>62</v>
      </c>
      <c r="G448" t="s">
        <v>524</v>
      </c>
      <c r="H448" t="s">
        <v>525</v>
      </c>
      <c r="I448">
        <v>2</v>
      </c>
      <c r="J448">
        <v>216</v>
      </c>
      <c r="K448">
        <v>1.25</v>
      </c>
      <c r="L448">
        <v>54</v>
      </c>
      <c r="M448">
        <v>10</v>
      </c>
      <c r="N448">
        <v>280</v>
      </c>
      <c r="O448" t="s">
        <v>65</v>
      </c>
      <c r="P448" t="s">
        <v>25</v>
      </c>
    </row>
    <row r="449" spans="1:16" x14ac:dyDescent="0.25">
      <c r="A449" t="s">
        <v>1680</v>
      </c>
      <c r="B449" t="s">
        <v>166</v>
      </c>
      <c r="C449" t="s">
        <v>35</v>
      </c>
      <c r="D449" t="s">
        <v>197</v>
      </c>
      <c r="E449" t="s">
        <v>1681</v>
      </c>
      <c r="F449" t="s">
        <v>21</v>
      </c>
      <c r="G449" t="s">
        <v>528</v>
      </c>
      <c r="H449" t="s">
        <v>529</v>
      </c>
      <c r="I449">
        <v>2.5</v>
      </c>
      <c r="J449">
        <v>88</v>
      </c>
      <c r="K449">
        <v>1.25</v>
      </c>
      <c r="L449">
        <v>22</v>
      </c>
      <c r="M449">
        <v>10</v>
      </c>
      <c r="N449">
        <v>120</v>
      </c>
      <c r="O449" t="s">
        <v>72</v>
      </c>
      <c r="P449" t="s">
        <v>73</v>
      </c>
    </row>
    <row r="450" spans="1:16" x14ac:dyDescent="0.25">
      <c r="A450" t="s">
        <v>1682</v>
      </c>
      <c r="B450" t="s">
        <v>172</v>
      </c>
      <c r="C450" t="s">
        <v>43</v>
      </c>
      <c r="D450" t="s">
        <v>203</v>
      </c>
      <c r="E450" t="s">
        <v>1683</v>
      </c>
      <c r="F450" t="s">
        <v>21</v>
      </c>
      <c r="G450" t="s">
        <v>1684</v>
      </c>
      <c r="H450" t="s">
        <v>1685</v>
      </c>
      <c r="I450">
        <v>3</v>
      </c>
      <c r="J450">
        <v>90</v>
      </c>
      <c r="K450">
        <v>1</v>
      </c>
      <c r="L450">
        <v>0</v>
      </c>
      <c r="M450">
        <v>10</v>
      </c>
      <c r="N450">
        <v>100</v>
      </c>
      <c r="O450" t="s">
        <v>80</v>
      </c>
      <c r="P450" t="s">
        <v>25</v>
      </c>
    </row>
    <row r="451" spans="1:16" x14ac:dyDescent="0.25">
      <c r="A451" t="s">
        <v>1686</v>
      </c>
      <c r="B451" t="s">
        <v>178</v>
      </c>
      <c r="C451" t="s">
        <v>50</v>
      </c>
      <c r="D451" t="s">
        <v>209</v>
      </c>
      <c r="E451" t="s">
        <v>1687</v>
      </c>
      <c r="F451" t="s">
        <v>21</v>
      </c>
      <c r="G451" t="s">
        <v>536</v>
      </c>
      <c r="H451" t="s">
        <v>537</v>
      </c>
      <c r="I451">
        <v>1</v>
      </c>
      <c r="J451">
        <v>40</v>
      </c>
      <c r="K451">
        <v>1.25</v>
      </c>
      <c r="L451">
        <v>10</v>
      </c>
      <c r="M451">
        <v>10</v>
      </c>
      <c r="N451">
        <v>35</v>
      </c>
      <c r="O451" t="s">
        <v>24</v>
      </c>
      <c r="P451" t="s">
        <v>25</v>
      </c>
    </row>
    <row r="452" spans="1:16" x14ac:dyDescent="0.25">
      <c r="A452" t="s">
        <v>1688</v>
      </c>
      <c r="B452" t="s">
        <v>184</v>
      </c>
      <c r="C452" t="s">
        <v>18</v>
      </c>
      <c r="D452" t="s">
        <v>215</v>
      </c>
      <c r="E452" t="s">
        <v>1689</v>
      </c>
      <c r="F452" t="s">
        <v>38</v>
      </c>
      <c r="G452" t="s">
        <v>1690</v>
      </c>
      <c r="H452" t="s">
        <v>1691</v>
      </c>
      <c r="I452">
        <v>1.5</v>
      </c>
      <c r="J452">
        <v>38</v>
      </c>
      <c r="K452">
        <v>1.25</v>
      </c>
      <c r="L452">
        <v>10</v>
      </c>
      <c r="M452">
        <v>10</v>
      </c>
      <c r="N452">
        <v>58</v>
      </c>
      <c r="O452" t="s">
        <v>24</v>
      </c>
      <c r="P452" t="s">
        <v>25</v>
      </c>
    </row>
    <row r="453" spans="1:16" x14ac:dyDescent="0.25">
      <c r="A453" t="s">
        <v>1692</v>
      </c>
      <c r="B453" t="s">
        <v>190</v>
      </c>
      <c r="C453" t="s">
        <v>28</v>
      </c>
      <c r="D453" t="s">
        <v>221</v>
      </c>
      <c r="E453" t="s">
        <v>1693</v>
      </c>
      <c r="F453" t="s">
        <v>38</v>
      </c>
      <c r="G453" t="s">
        <v>544</v>
      </c>
      <c r="H453" t="s">
        <v>545</v>
      </c>
      <c r="I453">
        <v>2</v>
      </c>
      <c r="J453">
        <v>60</v>
      </c>
      <c r="K453">
        <v>1.25</v>
      </c>
      <c r="L453">
        <v>15</v>
      </c>
      <c r="M453">
        <v>10</v>
      </c>
      <c r="N453">
        <v>85</v>
      </c>
      <c r="O453" t="s">
        <v>24</v>
      </c>
      <c r="P453" t="s">
        <v>25</v>
      </c>
    </row>
    <row r="454" spans="1:16" x14ac:dyDescent="0.25">
      <c r="A454" t="s">
        <v>1694</v>
      </c>
      <c r="B454" t="s">
        <v>196</v>
      </c>
      <c r="C454" t="s">
        <v>35</v>
      </c>
      <c r="D454" t="s">
        <v>227</v>
      </c>
      <c r="E454" t="s">
        <v>1695</v>
      </c>
      <c r="F454" t="s">
        <v>53</v>
      </c>
      <c r="G454" t="s">
        <v>548</v>
      </c>
      <c r="H454" t="s">
        <v>549</v>
      </c>
      <c r="I454">
        <v>2.5</v>
      </c>
      <c r="J454">
        <v>113</v>
      </c>
      <c r="K454">
        <v>1.25</v>
      </c>
      <c r="L454">
        <v>28</v>
      </c>
      <c r="M454">
        <v>10</v>
      </c>
      <c r="N454">
        <v>151</v>
      </c>
      <c r="O454" t="s">
        <v>24</v>
      </c>
      <c r="P454" t="s">
        <v>25</v>
      </c>
    </row>
    <row r="455" spans="1:16" x14ac:dyDescent="0.25">
      <c r="A455" t="s">
        <v>1696</v>
      </c>
      <c r="B455" t="s">
        <v>202</v>
      </c>
      <c r="C455" t="s">
        <v>43</v>
      </c>
      <c r="D455" t="s">
        <v>233</v>
      </c>
      <c r="E455" t="s">
        <v>1697</v>
      </c>
      <c r="F455" t="s">
        <v>62</v>
      </c>
      <c r="G455" t="s">
        <v>1698</v>
      </c>
      <c r="H455" t="s">
        <v>1699</v>
      </c>
      <c r="I455">
        <v>3</v>
      </c>
      <c r="J455">
        <v>162</v>
      </c>
      <c r="K455">
        <v>1.25</v>
      </c>
      <c r="L455">
        <v>41</v>
      </c>
      <c r="M455">
        <v>10</v>
      </c>
      <c r="N455">
        <v>213</v>
      </c>
      <c r="O455" t="s">
        <v>24</v>
      </c>
      <c r="P455" t="s">
        <v>25</v>
      </c>
    </row>
    <row r="456" spans="1:16" x14ac:dyDescent="0.25">
      <c r="A456" t="s">
        <v>1700</v>
      </c>
      <c r="B456" t="s">
        <v>208</v>
      </c>
      <c r="C456" t="s">
        <v>50</v>
      </c>
      <c r="D456" t="s">
        <v>239</v>
      </c>
      <c r="E456" t="s">
        <v>1701</v>
      </c>
      <c r="F456" t="s">
        <v>21</v>
      </c>
      <c r="G456" t="s">
        <v>1702</v>
      </c>
      <c r="H456" t="s">
        <v>1703</v>
      </c>
      <c r="I456">
        <v>1</v>
      </c>
      <c r="J456">
        <v>40</v>
      </c>
      <c r="K456">
        <v>1</v>
      </c>
      <c r="L456">
        <v>0</v>
      </c>
      <c r="M456">
        <v>10</v>
      </c>
      <c r="N456">
        <v>25</v>
      </c>
      <c r="O456" t="s">
        <v>56</v>
      </c>
      <c r="P456" t="s">
        <v>57</v>
      </c>
    </row>
    <row r="457" spans="1:16" x14ac:dyDescent="0.25">
      <c r="A457" t="s">
        <v>1704</v>
      </c>
      <c r="B457" t="s">
        <v>214</v>
      </c>
      <c r="C457" t="s">
        <v>18</v>
      </c>
      <c r="D457" t="s">
        <v>245</v>
      </c>
      <c r="E457" t="s">
        <v>1705</v>
      </c>
      <c r="F457" t="s">
        <v>21</v>
      </c>
      <c r="G457" t="s">
        <v>560</v>
      </c>
      <c r="H457" t="s">
        <v>561</v>
      </c>
      <c r="I457">
        <v>1.5</v>
      </c>
      <c r="J457">
        <v>75</v>
      </c>
      <c r="K457">
        <v>1.25</v>
      </c>
      <c r="L457">
        <v>19</v>
      </c>
      <c r="M457">
        <v>10</v>
      </c>
      <c r="N457">
        <v>104</v>
      </c>
      <c r="O457" t="s">
        <v>65</v>
      </c>
      <c r="P457" t="s">
        <v>25</v>
      </c>
    </row>
    <row r="458" spans="1:16" x14ac:dyDescent="0.25">
      <c r="A458" t="s">
        <v>1706</v>
      </c>
      <c r="B458" t="s">
        <v>220</v>
      </c>
      <c r="C458" t="s">
        <v>28</v>
      </c>
      <c r="D458" t="s">
        <v>251</v>
      </c>
      <c r="E458" t="s">
        <v>1707</v>
      </c>
      <c r="F458" t="s">
        <v>21</v>
      </c>
      <c r="G458" t="s">
        <v>1708</v>
      </c>
      <c r="H458" t="s">
        <v>1709</v>
      </c>
      <c r="I458">
        <v>2</v>
      </c>
      <c r="J458">
        <v>120</v>
      </c>
      <c r="K458">
        <v>1.25</v>
      </c>
      <c r="L458">
        <v>30</v>
      </c>
      <c r="M458">
        <v>10</v>
      </c>
      <c r="N458">
        <v>160</v>
      </c>
      <c r="O458" t="s">
        <v>72</v>
      </c>
      <c r="P458" t="s">
        <v>73</v>
      </c>
    </row>
    <row r="459" spans="1:16" x14ac:dyDescent="0.25">
      <c r="A459" t="s">
        <v>1710</v>
      </c>
      <c r="B459" t="s">
        <v>226</v>
      </c>
      <c r="C459" t="s">
        <v>35</v>
      </c>
      <c r="D459" t="s">
        <v>257</v>
      </c>
      <c r="E459" t="s">
        <v>1711</v>
      </c>
      <c r="F459" t="s">
        <v>38</v>
      </c>
      <c r="G459" t="s">
        <v>1712</v>
      </c>
      <c r="H459" t="s">
        <v>1713</v>
      </c>
      <c r="I459">
        <v>2.5</v>
      </c>
      <c r="J459">
        <v>38</v>
      </c>
      <c r="K459">
        <v>1</v>
      </c>
      <c r="L459">
        <v>0</v>
      </c>
      <c r="M459">
        <v>10</v>
      </c>
      <c r="N459">
        <v>48</v>
      </c>
      <c r="O459" t="s">
        <v>80</v>
      </c>
      <c r="P459" t="s">
        <v>25</v>
      </c>
    </row>
    <row r="460" spans="1:16" x14ac:dyDescent="0.25">
      <c r="A460" t="s">
        <v>1714</v>
      </c>
      <c r="B460" t="s">
        <v>232</v>
      </c>
      <c r="C460" t="s">
        <v>43</v>
      </c>
      <c r="D460" t="s">
        <v>263</v>
      </c>
      <c r="E460" t="s">
        <v>1715</v>
      </c>
      <c r="F460" t="s">
        <v>38</v>
      </c>
      <c r="G460" t="s">
        <v>572</v>
      </c>
      <c r="H460" t="s">
        <v>573</v>
      </c>
      <c r="I460">
        <v>3</v>
      </c>
      <c r="J460">
        <v>30</v>
      </c>
      <c r="K460">
        <v>1.25</v>
      </c>
      <c r="L460">
        <v>8</v>
      </c>
      <c r="M460">
        <v>10</v>
      </c>
      <c r="N460">
        <v>48</v>
      </c>
      <c r="O460" t="s">
        <v>24</v>
      </c>
      <c r="P460" t="s">
        <v>25</v>
      </c>
    </row>
    <row r="461" spans="1:16" x14ac:dyDescent="0.25">
      <c r="A461" t="s">
        <v>1716</v>
      </c>
      <c r="B461" t="s">
        <v>238</v>
      </c>
      <c r="C461" t="s">
        <v>50</v>
      </c>
      <c r="D461" t="s">
        <v>269</v>
      </c>
      <c r="E461" t="s">
        <v>1717</v>
      </c>
      <c r="F461" t="s">
        <v>53</v>
      </c>
      <c r="G461" t="s">
        <v>576</v>
      </c>
      <c r="H461" t="s">
        <v>577</v>
      </c>
      <c r="I461">
        <v>1</v>
      </c>
      <c r="J461">
        <v>50</v>
      </c>
      <c r="K461">
        <v>1.25</v>
      </c>
      <c r="L461">
        <v>13</v>
      </c>
      <c r="M461">
        <v>10</v>
      </c>
      <c r="N461">
        <v>73</v>
      </c>
      <c r="O461" t="s">
        <v>24</v>
      </c>
      <c r="P461" t="s">
        <v>25</v>
      </c>
    </row>
    <row r="462" spans="1:16" x14ac:dyDescent="0.25">
      <c r="A462" t="s">
        <v>1718</v>
      </c>
      <c r="B462" t="s">
        <v>244</v>
      </c>
      <c r="C462" t="s">
        <v>18</v>
      </c>
      <c r="D462" t="s">
        <v>275</v>
      </c>
      <c r="E462" t="s">
        <v>1719</v>
      </c>
      <c r="F462" t="s">
        <v>62</v>
      </c>
      <c r="G462" t="s">
        <v>1720</v>
      </c>
      <c r="H462" t="s">
        <v>1721</v>
      </c>
      <c r="I462">
        <v>1.5</v>
      </c>
      <c r="J462">
        <v>135</v>
      </c>
      <c r="K462">
        <v>1.25</v>
      </c>
      <c r="L462">
        <v>34</v>
      </c>
      <c r="M462">
        <v>10</v>
      </c>
      <c r="N462">
        <v>179</v>
      </c>
      <c r="O462" t="s">
        <v>24</v>
      </c>
      <c r="P462" t="s">
        <v>25</v>
      </c>
    </row>
    <row r="463" spans="1:16" x14ac:dyDescent="0.25">
      <c r="A463" t="s">
        <v>1722</v>
      </c>
      <c r="B463" t="s">
        <v>250</v>
      </c>
      <c r="C463" t="s">
        <v>28</v>
      </c>
      <c r="D463" t="s">
        <v>281</v>
      </c>
      <c r="E463" t="s">
        <v>1723</v>
      </c>
      <c r="F463" t="s">
        <v>21</v>
      </c>
      <c r="G463" t="s">
        <v>584</v>
      </c>
      <c r="H463" t="s">
        <v>585</v>
      </c>
      <c r="I463">
        <v>2</v>
      </c>
      <c r="J463">
        <v>120</v>
      </c>
      <c r="K463">
        <v>1.25</v>
      </c>
      <c r="L463">
        <v>30</v>
      </c>
      <c r="M463">
        <v>10</v>
      </c>
      <c r="N463">
        <v>160</v>
      </c>
      <c r="O463" t="s">
        <v>24</v>
      </c>
      <c r="P463" t="s">
        <v>25</v>
      </c>
    </row>
    <row r="464" spans="1:16" x14ac:dyDescent="0.25">
      <c r="A464" t="s">
        <v>1724</v>
      </c>
      <c r="B464" t="s">
        <v>256</v>
      </c>
      <c r="C464" t="s">
        <v>35</v>
      </c>
      <c r="D464" t="s">
        <v>287</v>
      </c>
      <c r="E464" t="s">
        <v>1725</v>
      </c>
      <c r="F464" t="s">
        <v>21</v>
      </c>
      <c r="G464" t="s">
        <v>1460</v>
      </c>
      <c r="H464" t="s">
        <v>1726</v>
      </c>
      <c r="I464">
        <v>2.5</v>
      </c>
      <c r="J464">
        <v>88</v>
      </c>
      <c r="K464">
        <v>1</v>
      </c>
      <c r="L464">
        <v>0</v>
      </c>
      <c r="M464">
        <v>10</v>
      </c>
      <c r="N464">
        <v>98</v>
      </c>
      <c r="O464" t="s">
        <v>24</v>
      </c>
      <c r="P464" t="s">
        <v>25</v>
      </c>
    </row>
    <row r="465" spans="1:16" x14ac:dyDescent="0.25">
      <c r="A465" t="s">
        <v>1727</v>
      </c>
      <c r="B465" t="s">
        <v>262</v>
      </c>
      <c r="C465" t="s">
        <v>43</v>
      </c>
      <c r="D465" t="s">
        <v>293</v>
      </c>
      <c r="E465" t="s">
        <v>1728</v>
      </c>
      <c r="F465" t="s">
        <v>21</v>
      </c>
      <c r="G465" t="s">
        <v>591</v>
      </c>
      <c r="H465" t="s">
        <v>592</v>
      </c>
      <c r="I465">
        <v>3</v>
      </c>
      <c r="J465">
        <v>90</v>
      </c>
      <c r="K465">
        <v>1.25</v>
      </c>
      <c r="L465">
        <v>23</v>
      </c>
      <c r="M465">
        <v>10</v>
      </c>
      <c r="N465">
        <v>123</v>
      </c>
      <c r="O465" t="s">
        <v>56</v>
      </c>
      <c r="P465" t="s">
        <v>57</v>
      </c>
    </row>
    <row r="466" spans="1:16" x14ac:dyDescent="0.25">
      <c r="A466" t="s">
        <v>1729</v>
      </c>
      <c r="B466" t="s">
        <v>268</v>
      </c>
      <c r="C466" t="s">
        <v>50</v>
      </c>
      <c r="D466" t="s">
        <v>299</v>
      </c>
      <c r="E466" t="s">
        <v>1730</v>
      </c>
      <c r="F466" t="s">
        <v>38</v>
      </c>
      <c r="G466" t="s">
        <v>595</v>
      </c>
      <c r="H466" t="s">
        <v>1201</v>
      </c>
      <c r="I466">
        <v>1</v>
      </c>
      <c r="J466">
        <v>20</v>
      </c>
      <c r="K466">
        <v>1.25</v>
      </c>
      <c r="L466">
        <v>5</v>
      </c>
      <c r="M466">
        <v>10</v>
      </c>
      <c r="N466">
        <v>10</v>
      </c>
      <c r="O466" t="s">
        <v>65</v>
      </c>
      <c r="P466" t="s">
        <v>25</v>
      </c>
    </row>
    <row r="467" spans="1:16" x14ac:dyDescent="0.25">
      <c r="A467" t="s">
        <v>1731</v>
      </c>
      <c r="B467" t="s">
        <v>274</v>
      </c>
      <c r="C467" t="s">
        <v>18</v>
      </c>
      <c r="D467" t="s">
        <v>305</v>
      </c>
      <c r="E467" t="s">
        <v>1732</v>
      </c>
      <c r="F467" t="s">
        <v>38</v>
      </c>
      <c r="G467" t="s">
        <v>1733</v>
      </c>
      <c r="H467" t="s">
        <v>1734</v>
      </c>
      <c r="I467">
        <v>1.5</v>
      </c>
      <c r="J467">
        <v>38</v>
      </c>
      <c r="K467">
        <v>1</v>
      </c>
      <c r="L467">
        <v>0</v>
      </c>
      <c r="M467">
        <v>10</v>
      </c>
      <c r="N467">
        <v>48</v>
      </c>
      <c r="O467" t="s">
        <v>72</v>
      </c>
      <c r="P467" t="s">
        <v>73</v>
      </c>
    </row>
    <row r="468" spans="1:16" x14ac:dyDescent="0.25">
      <c r="A468" t="s">
        <v>1735</v>
      </c>
      <c r="B468" t="s">
        <v>280</v>
      </c>
      <c r="C468" t="s">
        <v>28</v>
      </c>
      <c r="D468" t="s">
        <v>311</v>
      </c>
      <c r="E468" t="s">
        <v>1736</v>
      </c>
      <c r="F468" t="s">
        <v>53</v>
      </c>
      <c r="G468" t="s">
        <v>1737</v>
      </c>
      <c r="H468" t="s">
        <v>1738</v>
      </c>
      <c r="I468">
        <v>2</v>
      </c>
      <c r="J468">
        <v>140</v>
      </c>
      <c r="K468">
        <v>1.25</v>
      </c>
      <c r="L468">
        <v>35</v>
      </c>
      <c r="M468">
        <v>10</v>
      </c>
      <c r="N468">
        <v>185</v>
      </c>
      <c r="O468" t="s">
        <v>80</v>
      </c>
      <c r="P468" t="s">
        <v>25</v>
      </c>
    </row>
    <row r="469" spans="1:16" x14ac:dyDescent="0.25">
      <c r="A469" t="s">
        <v>1739</v>
      </c>
      <c r="B469" t="s">
        <v>286</v>
      </c>
      <c r="C469" t="s">
        <v>35</v>
      </c>
      <c r="D469" t="s">
        <v>317</v>
      </c>
      <c r="E469" t="s">
        <v>1740</v>
      </c>
      <c r="F469" t="s">
        <v>62</v>
      </c>
      <c r="G469" t="s">
        <v>607</v>
      </c>
      <c r="H469" t="s">
        <v>608</v>
      </c>
      <c r="I469">
        <v>2.5</v>
      </c>
      <c r="J469">
        <v>158</v>
      </c>
      <c r="K469">
        <v>1.25</v>
      </c>
      <c r="L469">
        <v>40</v>
      </c>
      <c r="M469">
        <v>10</v>
      </c>
      <c r="N469">
        <v>208</v>
      </c>
      <c r="O469" t="s">
        <v>24</v>
      </c>
      <c r="P469" t="s">
        <v>25</v>
      </c>
    </row>
    <row r="470" spans="1:16" x14ac:dyDescent="0.25">
      <c r="A470" t="s">
        <v>1741</v>
      </c>
      <c r="B470" t="s">
        <v>292</v>
      </c>
      <c r="C470" t="s">
        <v>43</v>
      </c>
      <c r="D470" t="s">
        <v>323</v>
      </c>
      <c r="E470" t="s">
        <v>1742</v>
      </c>
      <c r="F470" t="s">
        <v>21</v>
      </c>
      <c r="G470" t="s">
        <v>1743</v>
      </c>
      <c r="H470" t="s">
        <v>1744</v>
      </c>
      <c r="I470">
        <v>3</v>
      </c>
      <c r="J470">
        <v>90</v>
      </c>
      <c r="K470">
        <v>1</v>
      </c>
      <c r="L470">
        <v>0</v>
      </c>
      <c r="M470">
        <v>10</v>
      </c>
      <c r="N470">
        <v>100</v>
      </c>
      <c r="O470" t="s">
        <v>24</v>
      </c>
      <c r="P470" t="s">
        <v>25</v>
      </c>
    </row>
    <row r="471" spans="1:16" x14ac:dyDescent="0.25">
      <c r="A471" t="s">
        <v>1745</v>
      </c>
      <c r="B471" t="s">
        <v>298</v>
      </c>
      <c r="C471" t="s">
        <v>50</v>
      </c>
      <c r="D471" t="s">
        <v>329</v>
      </c>
      <c r="E471" t="s">
        <v>1746</v>
      </c>
      <c r="F471" t="s">
        <v>21</v>
      </c>
      <c r="G471" t="s">
        <v>1747</v>
      </c>
      <c r="H471" t="s">
        <v>1748</v>
      </c>
      <c r="I471">
        <v>1</v>
      </c>
      <c r="J471">
        <v>40</v>
      </c>
      <c r="K471">
        <v>1.25</v>
      </c>
      <c r="L471">
        <v>10</v>
      </c>
      <c r="M471">
        <v>10</v>
      </c>
      <c r="N471">
        <v>60</v>
      </c>
      <c r="O471" t="s">
        <v>24</v>
      </c>
      <c r="P471" t="s">
        <v>25</v>
      </c>
    </row>
    <row r="472" spans="1:16" x14ac:dyDescent="0.25">
      <c r="A472" t="s">
        <v>1749</v>
      </c>
      <c r="B472" t="s">
        <v>304</v>
      </c>
      <c r="C472" t="s">
        <v>18</v>
      </c>
      <c r="D472" t="s">
        <v>335</v>
      </c>
      <c r="E472" t="s">
        <v>1750</v>
      </c>
      <c r="F472" t="s">
        <v>21</v>
      </c>
      <c r="G472" t="s">
        <v>619</v>
      </c>
      <c r="H472" t="s">
        <v>620</v>
      </c>
      <c r="I472">
        <v>1.5</v>
      </c>
      <c r="J472">
        <v>75</v>
      </c>
      <c r="K472">
        <v>1.25</v>
      </c>
      <c r="L472">
        <v>19</v>
      </c>
      <c r="M472">
        <v>10</v>
      </c>
      <c r="N472">
        <v>104</v>
      </c>
      <c r="O472" t="s">
        <v>24</v>
      </c>
      <c r="P472" t="s">
        <v>25</v>
      </c>
    </row>
    <row r="473" spans="1:16" x14ac:dyDescent="0.25">
      <c r="A473" t="s">
        <v>1751</v>
      </c>
      <c r="B473" t="s">
        <v>310</v>
      </c>
      <c r="C473" t="s">
        <v>28</v>
      </c>
      <c r="D473" t="s">
        <v>341</v>
      </c>
      <c r="E473" t="s">
        <v>1752</v>
      </c>
      <c r="F473" t="s">
        <v>38</v>
      </c>
      <c r="G473" t="s">
        <v>623</v>
      </c>
      <c r="H473" t="s">
        <v>624</v>
      </c>
      <c r="I473">
        <v>2</v>
      </c>
      <c r="J473">
        <v>60</v>
      </c>
      <c r="K473">
        <v>1.25</v>
      </c>
      <c r="L473">
        <v>15</v>
      </c>
      <c r="M473">
        <v>10</v>
      </c>
      <c r="N473">
        <v>85</v>
      </c>
      <c r="O473" t="s">
        <v>24</v>
      </c>
      <c r="P473" t="s">
        <v>25</v>
      </c>
    </row>
    <row r="474" spans="1:16" x14ac:dyDescent="0.25">
      <c r="A474" t="s">
        <v>1753</v>
      </c>
      <c r="B474" t="s">
        <v>316</v>
      </c>
      <c r="C474" t="s">
        <v>35</v>
      </c>
      <c r="D474" t="s">
        <v>347</v>
      </c>
      <c r="E474" t="s">
        <v>1754</v>
      </c>
      <c r="F474" t="s">
        <v>38</v>
      </c>
      <c r="G474" t="s">
        <v>1491</v>
      </c>
      <c r="H474" t="s">
        <v>1755</v>
      </c>
      <c r="I474">
        <v>2.5</v>
      </c>
      <c r="J474">
        <v>38</v>
      </c>
      <c r="K474">
        <v>1</v>
      </c>
      <c r="L474">
        <v>0</v>
      </c>
      <c r="M474">
        <v>10</v>
      </c>
      <c r="N474">
        <v>48</v>
      </c>
      <c r="O474" t="s">
        <v>56</v>
      </c>
      <c r="P474" t="s">
        <v>57</v>
      </c>
    </row>
    <row r="475" spans="1:16" x14ac:dyDescent="0.25">
      <c r="A475" t="s">
        <v>1756</v>
      </c>
      <c r="B475" t="s">
        <v>322</v>
      </c>
      <c r="C475" t="s">
        <v>43</v>
      </c>
      <c r="D475" t="s">
        <v>353</v>
      </c>
      <c r="E475" t="s">
        <v>1757</v>
      </c>
      <c r="F475" t="s">
        <v>53</v>
      </c>
      <c r="G475" t="s">
        <v>630</v>
      </c>
      <c r="H475" t="s">
        <v>631</v>
      </c>
      <c r="I475">
        <v>3</v>
      </c>
      <c r="J475">
        <v>120</v>
      </c>
      <c r="K475">
        <v>1.25</v>
      </c>
      <c r="L475">
        <v>30</v>
      </c>
      <c r="M475">
        <v>10</v>
      </c>
      <c r="N475">
        <v>160</v>
      </c>
      <c r="O475" t="s">
        <v>65</v>
      </c>
      <c r="P475" t="s">
        <v>25</v>
      </c>
    </row>
    <row r="476" spans="1:16" x14ac:dyDescent="0.25">
      <c r="A476" t="s">
        <v>1758</v>
      </c>
      <c r="B476" t="s">
        <v>328</v>
      </c>
      <c r="C476" t="s">
        <v>50</v>
      </c>
      <c r="D476" t="s">
        <v>359</v>
      </c>
      <c r="E476" t="s">
        <v>1759</v>
      </c>
      <c r="F476" t="s">
        <v>62</v>
      </c>
      <c r="G476" t="s">
        <v>1760</v>
      </c>
      <c r="H476" t="s">
        <v>1761</v>
      </c>
      <c r="I476">
        <v>1</v>
      </c>
      <c r="J476">
        <v>72</v>
      </c>
      <c r="K476">
        <v>1.25</v>
      </c>
      <c r="L476">
        <v>18</v>
      </c>
      <c r="M476">
        <v>10</v>
      </c>
      <c r="N476">
        <v>75</v>
      </c>
      <c r="O476" t="s">
        <v>72</v>
      </c>
      <c r="P476" t="s">
        <v>73</v>
      </c>
    </row>
    <row r="477" spans="1:16" x14ac:dyDescent="0.25">
      <c r="A477" t="s">
        <v>1762</v>
      </c>
      <c r="B477" t="s">
        <v>334</v>
      </c>
      <c r="C477" t="s">
        <v>18</v>
      </c>
      <c r="D477" t="s">
        <v>365</v>
      </c>
      <c r="E477" t="s">
        <v>1763</v>
      </c>
      <c r="F477" t="s">
        <v>21</v>
      </c>
      <c r="G477" t="s">
        <v>638</v>
      </c>
      <c r="H477" t="s">
        <v>639</v>
      </c>
      <c r="I477">
        <v>1.5</v>
      </c>
      <c r="J477">
        <v>75</v>
      </c>
      <c r="K477">
        <v>1.25</v>
      </c>
      <c r="L477">
        <v>19</v>
      </c>
      <c r="M477">
        <v>10</v>
      </c>
      <c r="N477">
        <v>104</v>
      </c>
      <c r="O477" t="s">
        <v>80</v>
      </c>
      <c r="P477" t="s">
        <v>25</v>
      </c>
    </row>
    <row r="478" spans="1:16" x14ac:dyDescent="0.25">
      <c r="A478" t="s">
        <v>1764</v>
      </c>
      <c r="B478" t="s">
        <v>340</v>
      </c>
      <c r="C478" t="s">
        <v>28</v>
      </c>
      <c r="D478" t="s">
        <v>371</v>
      </c>
      <c r="E478" t="s">
        <v>1765</v>
      </c>
      <c r="F478" t="s">
        <v>21</v>
      </c>
      <c r="G478" t="s">
        <v>642</v>
      </c>
      <c r="H478" t="s">
        <v>643</v>
      </c>
      <c r="I478">
        <v>2</v>
      </c>
      <c r="J478">
        <v>120</v>
      </c>
      <c r="K478">
        <v>1.25</v>
      </c>
      <c r="L478">
        <v>30</v>
      </c>
      <c r="M478">
        <v>10</v>
      </c>
      <c r="N478">
        <v>160</v>
      </c>
      <c r="O478" t="s">
        <v>24</v>
      </c>
      <c r="P478" t="s">
        <v>25</v>
      </c>
    </row>
    <row r="479" spans="1:16" x14ac:dyDescent="0.25">
      <c r="A479" t="s">
        <v>1766</v>
      </c>
      <c r="B479" t="s">
        <v>346</v>
      </c>
      <c r="C479" t="s">
        <v>35</v>
      </c>
      <c r="D479" t="s">
        <v>377</v>
      </c>
      <c r="E479" t="s">
        <v>1767</v>
      </c>
      <c r="F479" t="s">
        <v>21</v>
      </c>
      <c r="G479" t="s">
        <v>1768</v>
      </c>
      <c r="H479" t="s">
        <v>1769</v>
      </c>
      <c r="I479">
        <v>2.5</v>
      </c>
      <c r="J479">
        <v>88</v>
      </c>
      <c r="K479">
        <v>1.25</v>
      </c>
      <c r="L479">
        <v>22</v>
      </c>
      <c r="M479">
        <v>10</v>
      </c>
      <c r="N479">
        <v>120</v>
      </c>
      <c r="O479" t="s">
        <v>24</v>
      </c>
      <c r="P479" t="s">
        <v>25</v>
      </c>
    </row>
    <row r="480" spans="1:16" x14ac:dyDescent="0.25">
      <c r="A480" t="s">
        <v>1770</v>
      </c>
      <c r="B480" t="s">
        <v>352</v>
      </c>
      <c r="C480" t="s">
        <v>43</v>
      </c>
      <c r="D480" t="s">
        <v>383</v>
      </c>
      <c r="E480" t="s">
        <v>1771</v>
      </c>
      <c r="F480" t="s">
        <v>38</v>
      </c>
      <c r="G480" t="s">
        <v>1772</v>
      </c>
      <c r="H480" t="s">
        <v>1773</v>
      </c>
      <c r="I480">
        <v>3</v>
      </c>
      <c r="J480">
        <v>30</v>
      </c>
      <c r="K480">
        <v>1.25</v>
      </c>
      <c r="L480">
        <v>8</v>
      </c>
      <c r="M480">
        <v>10</v>
      </c>
      <c r="N480">
        <v>48</v>
      </c>
      <c r="O480" t="s">
        <v>24</v>
      </c>
      <c r="P480" t="s">
        <v>25</v>
      </c>
    </row>
    <row r="481" spans="1:16" x14ac:dyDescent="0.25">
      <c r="A481" t="s">
        <v>1774</v>
      </c>
      <c r="B481" t="s">
        <v>358</v>
      </c>
      <c r="C481" t="s">
        <v>50</v>
      </c>
      <c r="D481" t="s">
        <v>389</v>
      </c>
      <c r="E481" t="s">
        <v>1775</v>
      </c>
      <c r="F481" t="s">
        <v>38</v>
      </c>
      <c r="G481" t="s">
        <v>654</v>
      </c>
      <c r="H481" t="s">
        <v>655</v>
      </c>
      <c r="I481">
        <v>1</v>
      </c>
      <c r="J481">
        <v>20</v>
      </c>
      <c r="K481">
        <v>1.25</v>
      </c>
      <c r="L481">
        <v>5</v>
      </c>
      <c r="M481">
        <v>10</v>
      </c>
      <c r="N481">
        <v>10</v>
      </c>
      <c r="O481" t="s">
        <v>24</v>
      </c>
      <c r="P481" t="s">
        <v>25</v>
      </c>
    </row>
    <row r="482" spans="1:16" x14ac:dyDescent="0.25">
      <c r="A482" t="s">
        <v>1776</v>
      </c>
      <c r="B482" t="s">
        <v>364</v>
      </c>
      <c r="C482" t="s">
        <v>18</v>
      </c>
      <c r="D482" t="s">
        <v>19</v>
      </c>
      <c r="E482" t="s">
        <v>1777</v>
      </c>
      <c r="F482" t="s">
        <v>53</v>
      </c>
      <c r="G482" t="s">
        <v>1515</v>
      </c>
      <c r="H482" t="s">
        <v>1778</v>
      </c>
      <c r="I482">
        <v>1.5</v>
      </c>
      <c r="J482">
        <v>90</v>
      </c>
      <c r="K482">
        <v>1.25</v>
      </c>
      <c r="L482">
        <v>23</v>
      </c>
      <c r="M482">
        <v>10</v>
      </c>
      <c r="N482">
        <v>123</v>
      </c>
      <c r="O482" t="s">
        <v>24</v>
      </c>
      <c r="P482" t="s">
        <v>25</v>
      </c>
    </row>
    <row r="483" spans="1:16" x14ac:dyDescent="0.25">
      <c r="A483" t="s">
        <v>1779</v>
      </c>
      <c r="B483" t="s">
        <v>370</v>
      </c>
      <c r="C483" t="s">
        <v>28</v>
      </c>
      <c r="D483" t="s">
        <v>29</v>
      </c>
      <c r="E483" t="s">
        <v>1780</v>
      </c>
      <c r="F483" t="s">
        <v>62</v>
      </c>
      <c r="G483" t="s">
        <v>1781</v>
      </c>
      <c r="H483" t="s">
        <v>1782</v>
      </c>
      <c r="I483">
        <v>2</v>
      </c>
      <c r="J483">
        <v>216</v>
      </c>
      <c r="K483">
        <v>1.25</v>
      </c>
      <c r="L483">
        <v>54</v>
      </c>
      <c r="M483">
        <v>10</v>
      </c>
      <c r="N483">
        <v>280</v>
      </c>
      <c r="O483" t="s">
        <v>56</v>
      </c>
      <c r="P483" t="s">
        <v>57</v>
      </c>
    </row>
    <row r="484" spans="1:16" x14ac:dyDescent="0.25">
      <c r="A484" t="s">
        <v>1783</v>
      </c>
      <c r="B484" t="s">
        <v>376</v>
      </c>
      <c r="C484" t="s">
        <v>35</v>
      </c>
      <c r="D484" t="s">
        <v>36</v>
      </c>
      <c r="E484" t="s">
        <v>1784</v>
      </c>
      <c r="F484" t="s">
        <v>21</v>
      </c>
      <c r="G484" t="s">
        <v>665</v>
      </c>
      <c r="H484" t="s">
        <v>666</v>
      </c>
      <c r="I484">
        <v>2.5</v>
      </c>
      <c r="J484">
        <v>88</v>
      </c>
      <c r="K484">
        <v>1.25</v>
      </c>
      <c r="L484">
        <v>22</v>
      </c>
      <c r="M484">
        <v>10</v>
      </c>
      <c r="N484">
        <v>120</v>
      </c>
      <c r="O484" t="s">
        <v>65</v>
      </c>
      <c r="P484" t="s">
        <v>25</v>
      </c>
    </row>
    <row r="485" spans="1:16" x14ac:dyDescent="0.25">
      <c r="A485" t="s">
        <v>1785</v>
      </c>
      <c r="B485" t="s">
        <v>382</v>
      </c>
      <c r="C485" t="s">
        <v>43</v>
      </c>
      <c r="D485" t="s">
        <v>44</v>
      </c>
      <c r="E485" t="s">
        <v>1786</v>
      </c>
      <c r="F485" t="s">
        <v>21</v>
      </c>
      <c r="G485" t="s">
        <v>669</v>
      </c>
      <c r="H485" t="s">
        <v>670</v>
      </c>
      <c r="I485">
        <v>3</v>
      </c>
      <c r="J485">
        <v>90</v>
      </c>
      <c r="K485">
        <v>1.25</v>
      </c>
      <c r="L485">
        <v>23</v>
      </c>
      <c r="M485">
        <v>10</v>
      </c>
      <c r="N485">
        <v>123</v>
      </c>
      <c r="O485" t="s">
        <v>72</v>
      </c>
      <c r="P485" t="s">
        <v>73</v>
      </c>
    </row>
    <row r="486" spans="1:16" x14ac:dyDescent="0.25">
      <c r="A486" t="s">
        <v>1787</v>
      </c>
      <c r="B486" t="s">
        <v>388</v>
      </c>
      <c r="C486" t="s">
        <v>50</v>
      </c>
      <c r="D486" t="s">
        <v>51</v>
      </c>
      <c r="E486" t="s">
        <v>1788</v>
      </c>
      <c r="F486" t="s">
        <v>21</v>
      </c>
      <c r="G486" t="s">
        <v>1789</v>
      </c>
      <c r="H486" t="s">
        <v>1790</v>
      </c>
      <c r="I486">
        <v>1</v>
      </c>
      <c r="J486">
        <v>40</v>
      </c>
      <c r="K486">
        <v>1.25</v>
      </c>
      <c r="L486">
        <v>10</v>
      </c>
      <c r="M486">
        <v>10</v>
      </c>
      <c r="N486">
        <v>35</v>
      </c>
      <c r="O486" t="s">
        <v>80</v>
      </c>
      <c r="P486" t="s">
        <v>25</v>
      </c>
    </row>
    <row r="487" spans="1:16" x14ac:dyDescent="0.25">
      <c r="A487" t="s">
        <v>1791</v>
      </c>
      <c r="B487" t="s">
        <v>394</v>
      </c>
      <c r="C487" t="s">
        <v>18</v>
      </c>
      <c r="D487" t="s">
        <v>60</v>
      </c>
      <c r="E487" t="s">
        <v>1792</v>
      </c>
      <c r="F487" t="s">
        <v>38</v>
      </c>
      <c r="G487" t="s">
        <v>677</v>
      </c>
      <c r="H487" t="s">
        <v>678</v>
      </c>
      <c r="I487">
        <v>1.5</v>
      </c>
      <c r="J487">
        <v>38</v>
      </c>
      <c r="K487">
        <v>1.25</v>
      </c>
      <c r="L487">
        <v>10</v>
      </c>
      <c r="M487">
        <v>10</v>
      </c>
      <c r="N487">
        <v>58</v>
      </c>
      <c r="O487" t="s">
        <v>24</v>
      </c>
      <c r="P487" t="s">
        <v>25</v>
      </c>
    </row>
    <row r="488" spans="1:16" x14ac:dyDescent="0.25">
      <c r="A488" t="s">
        <v>1793</v>
      </c>
      <c r="B488" t="s">
        <v>399</v>
      </c>
      <c r="C488" t="s">
        <v>28</v>
      </c>
      <c r="D488" t="s">
        <v>68</v>
      </c>
      <c r="E488" t="s">
        <v>1794</v>
      </c>
      <c r="F488" t="s">
        <v>38</v>
      </c>
      <c r="G488" t="s">
        <v>1795</v>
      </c>
      <c r="H488" t="s">
        <v>1796</v>
      </c>
      <c r="I488">
        <v>2</v>
      </c>
      <c r="J488">
        <v>60</v>
      </c>
      <c r="K488">
        <v>1</v>
      </c>
      <c r="L488">
        <v>0</v>
      </c>
      <c r="M488">
        <v>10</v>
      </c>
      <c r="N488">
        <v>70</v>
      </c>
      <c r="O488" t="s">
        <v>24</v>
      </c>
      <c r="P488" t="s">
        <v>25</v>
      </c>
    </row>
    <row r="489" spans="1:16" x14ac:dyDescent="0.25">
      <c r="A489" t="s">
        <v>1797</v>
      </c>
      <c r="B489" t="s">
        <v>404</v>
      </c>
      <c r="C489" t="s">
        <v>35</v>
      </c>
      <c r="D489" t="s">
        <v>76</v>
      </c>
      <c r="E489" t="s">
        <v>1798</v>
      </c>
      <c r="F489" t="s">
        <v>53</v>
      </c>
      <c r="G489" t="s">
        <v>685</v>
      </c>
      <c r="H489" t="s">
        <v>686</v>
      </c>
      <c r="I489">
        <v>2.5</v>
      </c>
      <c r="J489">
        <v>113</v>
      </c>
      <c r="K489">
        <v>1.25</v>
      </c>
      <c r="L489">
        <v>28</v>
      </c>
      <c r="M489">
        <v>10</v>
      </c>
      <c r="N489">
        <v>151</v>
      </c>
      <c r="O489" t="s">
        <v>24</v>
      </c>
      <c r="P489" t="s">
        <v>25</v>
      </c>
    </row>
    <row r="490" spans="1:16" x14ac:dyDescent="0.25">
      <c r="A490" t="s">
        <v>1799</v>
      </c>
      <c r="B490" t="s">
        <v>409</v>
      </c>
      <c r="C490" t="s">
        <v>43</v>
      </c>
      <c r="D490" t="s">
        <v>83</v>
      </c>
      <c r="E490" t="s">
        <v>1800</v>
      </c>
      <c r="F490" t="s">
        <v>62</v>
      </c>
      <c r="G490" t="s">
        <v>689</v>
      </c>
      <c r="H490" t="s">
        <v>690</v>
      </c>
      <c r="I490">
        <v>3</v>
      </c>
      <c r="J490">
        <v>162</v>
      </c>
      <c r="K490">
        <v>1.25</v>
      </c>
      <c r="L490">
        <v>41</v>
      </c>
      <c r="M490">
        <v>10</v>
      </c>
      <c r="N490">
        <v>213</v>
      </c>
      <c r="O490" t="s">
        <v>24</v>
      </c>
      <c r="P490" t="s">
        <v>25</v>
      </c>
    </row>
    <row r="491" spans="1:16" x14ac:dyDescent="0.25">
      <c r="A491" t="s">
        <v>1801</v>
      </c>
      <c r="B491" t="s">
        <v>414</v>
      </c>
      <c r="C491" t="s">
        <v>50</v>
      </c>
      <c r="D491" t="s">
        <v>89</v>
      </c>
      <c r="E491" t="s">
        <v>1802</v>
      </c>
      <c r="F491" t="s">
        <v>21</v>
      </c>
      <c r="G491" t="s">
        <v>1803</v>
      </c>
      <c r="H491" t="s">
        <v>1804</v>
      </c>
      <c r="I491">
        <v>1</v>
      </c>
      <c r="J491">
        <v>40</v>
      </c>
      <c r="K491">
        <v>1</v>
      </c>
      <c r="L491">
        <v>0</v>
      </c>
      <c r="M491">
        <v>10</v>
      </c>
      <c r="N491">
        <v>25</v>
      </c>
      <c r="O491" t="s">
        <v>24</v>
      </c>
      <c r="P491" t="s">
        <v>25</v>
      </c>
    </row>
    <row r="492" spans="1:16" x14ac:dyDescent="0.25">
      <c r="A492" t="s">
        <v>1805</v>
      </c>
      <c r="B492" t="s">
        <v>419</v>
      </c>
      <c r="C492" t="s">
        <v>18</v>
      </c>
      <c r="D492" t="s">
        <v>95</v>
      </c>
      <c r="E492" t="s">
        <v>1806</v>
      </c>
      <c r="F492" t="s">
        <v>21</v>
      </c>
      <c r="G492" t="s">
        <v>1545</v>
      </c>
      <c r="H492" t="s">
        <v>1807</v>
      </c>
      <c r="I492">
        <v>1.5</v>
      </c>
      <c r="J492">
        <v>75</v>
      </c>
      <c r="K492">
        <v>1</v>
      </c>
      <c r="L492">
        <v>0</v>
      </c>
      <c r="M492">
        <v>10</v>
      </c>
      <c r="N492">
        <v>85</v>
      </c>
      <c r="O492" t="s">
        <v>56</v>
      </c>
      <c r="P492" t="s">
        <v>57</v>
      </c>
    </row>
    <row r="493" spans="1:16" x14ac:dyDescent="0.25">
      <c r="A493" t="s">
        <v>1808</v>
      </c>
      <c r="B493" t="s">
        <v>424</v>
      </c>
      <c r="C493" t="s">
        <v>28</v>
      </c>
      <c r="D493" t="s">
        <v>101</v>
      </c>
      <c r="E493" t="s">
        <v>1809</v>
      </c>
      <c r="F493" t="s">
        <v>21</v>
      </c>
      <c r="G493" t="s">
        <v>700</v>
      </c>
      <c r="H493" t="s">
        <v>701</v>
      </c>
      <c r="I493">
        <v>2</v>
      </c>
      <c r="J493">
        <v>120</v>
      </c>
      <c r="K493">
        <v>1.25</v>
      </c>
      <c r="L493">
        <v>30</v>
      </c>
      <c r="M493">
        <v>10</v>
      </c>
      <c r="N493">
        <v>160</v>
      </c>
      <c r="O493" t="s">
        <v>65</v>
      </c>
      <c r="P493" t="s">
        <v>25</v>
      </c>
    </row>
    <row r="494" spans="1:16" x14ac:dyDescent="0.25">
      <c r="A494" t="s">
        <v>1810</v>
      </c>
      <c r="B494" t="s">
        <v>429</v>
      </c>
      <c r="C494" t="s">
        <v>35</v>
      </c>
      <c r="D494" t="s">
        <v>107</v>
      </c>
      <c r="E494" t="s">
        <v>1811</v>
      </c>
      <c r="F494" t="s">
        <v>38</v>
      </c>
      <c r="G494" t="s">
        <v>1812</v>
      </c>
      <c r="H494" t="s">
        <v>1813</v>
      </c>
      <c r="I494">
        <v>2.5</v>
      </c>
      <c r="J494">
        <v>38</v>
      </c>
      <c r="K494">
        <v>1.25</v>
      </c>
      <c r="L494">
        <v>10</v>
      </c>
      <c r="M494">
        <v>10</v>
      </c>
      <c r="N494">
        <v>58</v>
      </c>
      <c r="O494" t="s">
        <v>72</v>
      </c>
      <c r="P494" t="s">
        <v>73</v>
      </c>
    </row>
    <row r="495" spans="1:16" x14ac:dyDescent="0.25">
      <c r="A495" t="s">
        <v>1814</v>
      </c>
      <c r="B495" t="s">
        <v>434</v>
      </c>
      <c r="C495" t="s">
        <v>43</v>
      </c>
      <c r="D495" t="s">
        <v>113</v>
      </c>
      <c r="E495" t="s">
        <v>1815</v>
      </c>
      <c r="F495" t="s">
        <v>38</v>
      </c>
      <c r="G495" t="s">
        <v>1816</v>
      </c>
      <c r="H495" t="s">
        <v>1817</v>
      </c>
      <c r="I495">
        <v>3</v>
      </c>
      <c r="J495">
        <v>30</v>
      </c>
      <c r="K495">
        <v>1</v>
      </c>
      <c r="L495">
        <v>0</v>
      </c>
      <c r="M495">
        <v>10</v>
      </c>
      <c r="N495">
        <v>40</v>
      </c>
      <c r="O495" t="s">
        <v>80</v>
      </c>
      <c r="P495" t="s">
        <v>25</v>
      </c>
    </row>
    <row r="496" spans="1:16" x14ac:dyDescent="0.25">
      <c r="A496" t="s">
        <v>1818</v>
      </c>
      <c r="B496" t="s">
        <v>439</v>
      </c>
      <c r="C496" t="s">
        <v>50</v>
      </c>
      <c r="D496" t="s">
        <v>119</v>
      </c>
      <c r="E496" t="s">
        <v>1819</v>
      </c>
      <c r="F496" t="s">
        <v>53</v>
      </c>
      <c r="G496" t="s">
        <v>712</v>
      </c>
      <c r="H496" t="s">
        <v>713</v>
      </c>
      <c r="I496">
        <v>1</v>
      </c>
      <c r="J496">
        <v>50</v>
      </c>
      <c r="K496">
        <v>1.25</v>
      </c>
      <c r="L496">
        <v>13</v>
      </c>
      <c r="M496">
        <v>10</v>
      </c>
      <c r="N496">
        <v>73</v>
      </c>
      <c r="O496" t="s">
        <v>24</v>
      </c>
      <c r="P496" t="s">
        <v>25</v>
      </c>
    </row>
    <row r="497" spans="1:16" x14ac:dyDescent="0.25">
      <c r="A497" t="s">
        <v>1820</v>
      </c>
      <c r="B497" t="s">
        <v>444</v>
      </c>
      <c r="C497" t="s">
        <v>18</v>
      </c>
      <c r="D497" t="s">
        <v>125</v>
      </c>
      <c r="E497" t="s">
        <v>1821</v>
      </c>
      <c r="F497" t="s">
        <v>62</v>
      </c>
      <c r="G497" t="s">
        <v>716</v>
      </c>
      <c r="H497" t="s">
        <v>717</v>
      </c>
      <c r="I497">
        <v>1.5</v>
      </c>
      <c r="J497">
        <v>135</v>
      </c>
      <c r="K497">
        <v>1.25</v>
      </c>
      <c r="L497">
        <v>34</v>
      </c>
      <c r="M497">
        <v>10</v>
      </c>
      <c r="N497">
        <v>179</v>
      </c>
      <c r="O497" t="s">
        <v>24</v>
      </c>
      <c r="P497" t="s">
        <v>25</v>
      </c>
    </row>
    <row r="498" spans="1:16" x14ac:dyDescent="0.25">
      <c r="A498" t="s">
        <v>1822</v>
      </c>
      <c r="B498" t="s">
        <v>449</v>
      </c>
      <c r="C498" t="s">
        <v>28</v>
      </c>
      <c r="D498" t="s">
        <v>131</v>
      </c>
      <c r="E498" t="s">
        <v>1823</v>
      </c>
      <c r="F498" t="s">
        <v>21</v>
      </c>
      <c r="G498" t="s">
        <v>1824</v>
      </c>
      <c r="H498" t="s">
        <v>1825</v>
      </c>
      <c r="I498">
        <v>2</v>
      </c>
      <c r="J498">
        <v>120</v>
      </c>
      <c r="K498">
        <v>1</v>
      </c>
      <c r="L498">
        <v>0</v>
      </c>
      <c r="M498">
        <v>10</v>
      </c>
      <c r="N498">
        <v>130</v>
      </c>
      <c r="O498" t="s">
        <v>24</v>
      </c>
      <c r="P498" t="s">
        <v>25</v>
      </c>
    </row>
    <row r="499" spans="1:16" x14ac:dyDescent="0.25">
      <c r="A499" t="s">
        <v>1826</v>
      </c>
      <c r="B499" t="s">
        <v>454</v>
      </c>
      <c r="C499" t="s">
        <v>35</v>
      </c>
      <c r="D499" t="s">
        <v>137</v>
      </c>
      <c r="E499" t="s">
        <v>1827</v>
      </c>
      <c r="F499" t="s">
        <v>21</v>
      </c>
      <c r="G499" t="s">
        <v>724</v>
      </c>
      <c r="H499" t="s">
        <v>725</v>
      </c>
      <c r="I499">
        <v>2.5</v>
      </c>
      <c r="J499">
        <v>88</v>
      </c>
      <c r="K499">
        <v>1.25</v>
      </c>
      <c r="L499">
        <v>22</v>
      </c>
      <c r="M499">
        <v>10</v>
      </c>
      <c r="N499">
        <v>120</v>
      </c>
      <c r="O499" t="s">
        <v>24</v>
      </c>
      <c r="P499" t="s">
        <v>25</v>
      </c>
    </row>
    <row r="500" spans="1:16" x14ac:dyDescent="0.25">
      <c r="A500" t="s">
        <v>1828</v>
      </c>
      <c r="B500" t="s">
        <v>459</v>
      </c>
      <c r="C500" t="s">
        <v>43</v>
      </c>
      <c r="D500" t="s">
        <v>143</v>
      </c>
      <c r="E500" t="s">
        <v>1829</v>
      </c>
      <c r="F500" t="s">
        <v>21</v>
      </c>
      <c r="G500" t="s">
        <v>1830</v>
      </c>
      <c r="H500" t="s">
        <v>1831</v>
      </c>
      <c r="I500">
        <v>3</v>
      </c>
      <c r="J500">
        <v>90</v>
      </c>
      <c r="K500">
        <v>1.25</v>
      </c>
      <c r="L500">
        <v>23</v>
      </c>
      <c r="M500">
        <v>10</v>
      </c>
      <c r="N500">
        <v>123</v>
      </c>
      <c r="O500" t="s">
        <v>24</v>
      </c>
      <c r="P500" t="s">
        <v>25</v>
      </c>
    </row>
    <row r="501" spans="1:16" x14ac:dyDescent="0.25">
      <c r="A501" t="s">
        <v>1832</v>
      </c>
      <c r="B501" t="s">
        <v>464</v>
      </c>
      <c r="C501" t="s">
        <v>50</v>
      </c>
      <c r="D501" t="s">
        <v>149</v>
      </c>
      <c r="E501" t="s">
        <v>1833</v>
      </c>
      <c r="F501" t="s">
        <v>38</v>
      </c>
      <c r="G501" t="s">
        <v>732</v>
      </c>
      <c r="H501" t="s">
        <v>733</v>
      </c>
      <c r="I501">
        <v>1</v>
      </c>
      <c r="J501">
        <v>20</v>
      </c>
      <c r="K501">
        <v>1.25</v>
      </c>
      <c r="L501">
        <v>5</v>
      </c>
      <c r="M501">
        <v>10</v>
      </c>
      <c r="N501">
        <v>10</v>
      </c>
      <c r="O501" t="s">
        <v>56</v>
      </c>
      <c r="P50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8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1</v>
      </c>
      <c r="B1" s="1" t="s">
        <v>1834</v>
      </c>
      <c r="C1" s="1" t="s">
        <v>1835</v>
      </c>
      <c r="D1" s="1" t="s">
        <v>1836</v>
      </c>
      <c r="E1" s="1" t="s">
        <v>1837</v>
      </c>
      <c r="F1" s="1" t="s">
        <v>1838</v>
      </c>
      <c r="G1" s="1" t="s">
        <v>1839</v>
      </c>
    </row>
    <row r="2" spans="1:7" x14ac:dyDescent="0.25">
      <c r="A2" t="s">
        <v>514</v>
      </c>
      <c r="B2" t="s">
        <v>1840</v>
      </c>
      <c r="C2" t="s">
        <v>1841</v>
      </c>
      <c r="D2" t="s">
        <v>1842</v>
      </c>
      <c r="E2" t="s">
        <v>1843</v>
      </c>
      <c r="F2">
        <v>688</v>
      </c>
      <c r="G2" t="s">
        <v>1844</v>
      </c>
    </row>
    <row r="3" spans="1:7" x14ac:dyDescent="0.25">
      <c r="A3" t="s">
        <v>454</v>
      </c>
      <c r="B3" t="s">
        <v>1845</v>
      </c>
      <c r="C3" t="s">
        <v>1846</v>
      </c>
      <c r="D3" t="s">
        <v>1847</v>
      </c>
      <c r="E3" t="s">
        <v>1848</v>
      </c>
      <c r="F3">
        <v>733</v>
      </c>
      <c r="G3" t="s">
        <v>1849</v>
      </c>
    </row>
    <row r="4" spans="1:7" x14ac:dyDescent="0.25">
      <c r="A4" t="s">
        <v>394</v>
      </c>
      <c r="B4" t="s">
        <v>1850</v>
      </c>
      <c r="C4" t="s">
        <v>1851</v>
      </c>
      <c r="D4" t="s">
        <v>1852</v>
      </c>
      <c r="E4" t="s">
        <v>1853</v>
      </c>
      <c r="F4">
        <v>660</v>
      </c>
      <c r="G4" t="s">
        <v>1854</v>
      </c>
    </row>
    <row r="5" spans="1:7" x14ac:dyDescent="0.25">
      <c r="A5" t="s">
        <v>322</v>
      </c>
      <c r="B5" t="s">
        <v>1855</v>
      </c>
      <c r="C5" t="s">
        <v>1856</v>
      </c>
      <c r="D5" t="s">
        <v>1857</v>
      </c>
      <c r="E5" t="s">
        <v>1853</v>
      </c>
      <c r="F5">
        <v>549</v>
      </c>
      <c r="G5" t="s">
        <v>1858</v>
      </c>
    </row>
    <row r="6" spans="1:7" x14ac:dyDescent="0.25">
      <c r="A6" t="s">
        <v>250</v>
      </c>
      <c r="B6" t="s">
        <v>1859</v>
      </c>
      <c r="C6" t="s">
        <v>1860</v>
      </c>
      <c r="D6" t="s">
        <v>1861</v>
      </c>
      <c r="E6" t="s">
        <v>1853</v>
      </c>
      <c r="F6">
        <v>754</v>
      </c>
      <c r="G6" t="s">
        <v>1862</v>
      </c>
    </row>
    <row r="7" spans="1:7" x14ac:dyDescent="0.25">
      <c r="A7" t="s">
        <v>178</v>
      </c>
      <c r="B7" t="s">
        <v>1863</v>
      </c>
      <c r="C7" t="s">
        <v>1864</v>
      </c>
      <c r="D7" t="s">
        <v>1865</v>
      </c>
      <c r="E7" t="s">
        <v>1853</v>
      </c>
      <c r="F7">
        <v>772</v>
      </c>
      <c r="G7" t="s">
        <v>1866</v>
      </c>
    </row>
    <row r="8" spans="1:7" x14ac:dyDescent="0.25">
      <c r="A8" t="s">
        <v>106</v>
      </c>
      <c r="B8" t="s">
        <v>1867</v>
      </c>
      <c r="C8" t="s">
        <v>1868</v>
      </c>
      <c r="D8" t="s">
        <v>1869</v>
      </c>
      <c r="E8" t="s">
        <v>1853</v>
      </c>
      <c r="F8">
        <v>0</v>
      </c>
      <c r="G8" t="s">
        <v>1870</v>
      </c>
    </row>
    <row r="9" spans="1:7" x14ac:dyDescent="0.25">
      <c r="A9" t="s">
        <v>17</v>
      </c>
      <c r="B9" t="s">
        <v>1871</v>
      </c>
      <c r="C9" t="s">
        <v>1872</v>
      </c>
      <c r="D9" t="s">
        <v>1873</v>
      </c>
      <c r="E9" t="s">
        <v>1853</v>
      </c>
      <c r="F9">
        <v>459</v>
      </c>
      <c r="G9" t="s">
        <v>1874</v>
      </c>
    </row>
    <row r="10" spans="1:7" x14ac:dyDescent="0.25">
      <c r="A10" t="s">
        <v>459</v>
      </c>
      <c r="B10" t="s">
        <v>1875</v>
      </c>
      <c r="C10" t="s">
        <v>1876</v>
      </c>
      <c r="D10" t="s">
        <v>1877</v>
      </c>
      <c r="E10" t="s">
        <v>1853</v>
      </c>
      <c r="F10">
        <v>440</v>
      </c>
      <c r="G10" t="s">
        <v>1878</v>
      </c>
    </row>
    <row r="11" spans="1:7" x14ac:dyDescent="0.25">
      <c r="A11" t="s">
        <v>399</v>
      </c>
      <c r="B11" t="s">
        <v>1879</v>
      </c>
      <c r="C11" t="s">
        <v>1880</v>
      </c>
      <c r="D11" t="s">
        <v>1881</v>
      </c>
      <c r="E11" t="s">
        <v>1853</v>
      </c>
      <c r="F11">
        <v>130</v>
      </c>
      <c r="G11" t="s">
        <v>1882</v>
      </c>
    </row>
    <row r="12" spans="1:7" x14ac:dyDescent="0.25">
      <c r="A12" t="s">
        <v>328</v>
      </c>
      <c r="B12" t="s">
        <v>1883</v>
      </c>
      <c r="C12" t="s">
        <v>1884</v>
      </c>
      <c r="D12" t="s">
        <v>1885</v>
      </c>
      <c r="E12" t="s">
        <v>1853</v>
      </c>
      <c r="F12">
        <v>664</v>
      </c>
      <c r="G12" t="s">
        <v>1886</v>
      </c>
    </row>
    <row r="13" spans="1:7" x14ac:dyDescent="0.25">
      <c r="A13" t="s">
        <v>256</v>
      </c>
      <c r="B13" t="s">
        <v>1887</v>
      </c>
      <c r="C13" t="s">
        <v>1888</v>
      </c>
      <c r="D13" t="s">
        <v>1889</v>
      </c>
      <c r="E13" t="s">
        <v>1853</v>
      </c>
      <c r="F13">
        <v>73</v>
      </c>
      <c r="G13" t="s">
        <v>1890</v>
      </c>
    </row>
    <row r="14" spans="1:7" x14ac:dyDescent="0.25">
      <c r="A14" t="s">
        <v>184</v>
      </c>
      <c r="B14" t="s">
        <v>1891</v>
      </c>
      <c r="C14" t="s">
        <v>1892</v>
      </c>
      <c r="D14" t="s">
        <v>1893</v>
      </c>
      <c r="E14" t="s">
        <v>1853</v>
      </c>
      <c r="F14">
        <v>59</v>
      </c>
      <c r="G14" t="s">
        <v>1894</v>
      </c>
    </row>
    <row r="15" spans="1:7" x14ac:dyDescent="0.25">
      <c r="A15" t="s">
        <v>112</v>
      </c>
      <c r="B15" t="s">
        <v>1895</v>
      </c>
      <c r="C15" t="s">
        <v>1896</v>
      </c>
      <c r="D15" t="s">
        <v>1897</v>
      </c>
      <c r="E15" t="s">
        <v>1853</v>
      </c>
      <c r="F15">
        <v>0</v>
      </c>
      <c r="G15" t="s">
        <v>1898</v>
      </c>
    </row>
    <row r="16" spans="1:7" x14ac:dyDescent="0.25">
      <c r="A16" t="s">
        <v>27</v>
      </c>
      <c r="B16" t="s">
        <v>1899</v>
      </c>
      <c r="C16" t="s">
        <v>1900</v>
      </c>
      <c r="D16" t="s">
        <v>1901</v>
      </c>
      <c r="E16" t="s">
        <v>1853</v>
      </c>
      <c r="F16">
        <v>829</v>
      </c>
      <c r="G16" t="s">
        <v>1902</v>
      </c>
    </row>
    <row r="17" spans="1:7" x14ac:dyDescent="0.25">
      <c r="A17" t="s">
        <v>464</v>
      </c>
      <c r="B17" t="s">
        <v>1903</v>
      </c>
      <c r="C17" t="s">
        <v>1904</v>
      </c>
      <c r="D17" t="s">
        <v>1905</v>
      </c>
      <c r="E17" t="s">
        <v>1853</v>
      </c>
      <c r="F17">
        <v>771</v>
      </c>
      <c r="G17" t="s">
        <v>1906</v>
      </c>
    </row>
    <row r="18" spans="1:7" x14ac:dyDescent="0.25">
      <c r="A18" t="s">
        <v>404</v>
      </c>
      <c r="B18" t="s">
        <v>1907</v>
      </c>
      <c r="C18" t="s">
        <v>1908</v>
      </c>
      <c r="D18" t="s">
        <v>1909</v>
      </c>
      <c r="E18" t="s">
        <v>1853</v>
      </c>
      <c r="F18">
        <v>351</v>
      </c>
      <c r="G18" t="s">
        <v>1910</v>
      </c>
    </row>
    <row r="19" spans="1:7" x14ac:dyDescent="0.25">
      <c r="A19" t="s">
        <v>334</v>
      </c>
      <c r="B19" t="s">
        <v>1911</v>
      </c>
      <c r="C19" t="s">
        <v>1912</v>
      </c>
      <c r="D19" t="s">
        <v>1913</v>
      </c>
      <c r="E19" t="s">
        <v>1853</v>
      </c>
      <c r="F19">
        <v>584</v>
      </c>
      <c r="G19" t="s">
        <v>1914</v>
      </c>
    </row>
    <row r="20" spans="1:7" x14ac:dyDescent="0.25">
      <c r="A20" t="s">
        <v>262</v>
      </c>
      <c r="B20" t="s">
        <v>1915</v>
      </c>
      <c r="C20" t="s">
        <v>1916</v>
      </c>
      <c r="D20" t="s">
        <v>1917</v>
      </c>
      <c r="E20" t="s">
        <v>1853</v>
      </c>
      <c r="F20">
        <v>393</v>
      </c>
      <c r="G20" t="s">
        <v>1918</v>
      </c>
    </row>
    <row r="21" spans="1:7" x14ac:dyDescent="0.25">
      <c r="A21" t="s">
        <v>190</v>
      </c>
      <c r="B21" t="s">
        <v>1919</v>
      </c>
      <c r="C21" t="s">
        <v>1920</v>
      </c>
      <c r="D21" t="s">
        <v>1921</v>
      </c>
      <c r="E21" t="s">
        <v>1853</v>
      </c>
      <c r="F21">
        <v>415</v>
      </c>
      <c r="G21" t="s">
        <v>1922</v>
      </c>
    </row>
    <row r="22" spans="1:7" x14ac:dyDescent="0.25">
      <c r="A22" t="s">
        <v>118</v>
      </c>
      <c r="B22" t="s">
        <v>1923</v>
      </c>
      <c r="C22" t="s">
        <v>1924</v>
      </c>
      <c r="D22" t="s">
        <v>1925</v>
      </c>
      <c r="E22" t="s">
        <v>1853</v>
      </c>
      <c r="F22">
        <v>0</v>
      </c>
      <c r="G22" t="s">
        <v>1926</v>
      </c>
    </row>
    <row r="23" spans="1:7" x14ac:dyDescent="0.25">
      <c r="A23" t="s">
        <v>34</v>
      </c>
      <c r="B23" t="s">
        <v>1927</v>
      </c>
      <c r="C23" t="s">
        <v>1928</v>
      </c>
      <c r="D23" t="s">
        <v>1929</v>
      </c>
      <c r="E23" t="s">
        <v>1853</v>
      </c>
      <c r="F23">
        <v>115</v>
      </c>
      <c r="G23" t="s">
        <v>1930</v>
      </c>
    </row>
    <row r="24" spans="1:7" x14ac:dyDescent="0.25">
      <c r="A24" t="s">
        <v>469</v>
      </c>
      <c r="B24" t="s">
        <v>1931</v>
      </c>
      <c r="C24" t="s">
        <v>1932</v>
      </c>
      <c r="D24" t="s">
        <v>1933</v>
      </c>
      <c r="E24" t="s">
        <v>1853</v>
      </c>
      <c r="F24">
        <v>832</v>
      </c>
      <c r="G24" t="s">
        <v>1934</v>
      </c>
    </row>
    <row r="25" spans="1:7" x14ac:dyDescent="0.25">
      <c r="A25" t="s">
        <v>409</v>
      </c>
      <c r="B25" t="s">
        <v>1935</v>
      </c>
      <c r="C25" t="s">
        <v>1936</v>
      </c>
      <c r="D25" t="s">
        <v>1937</v>
      </c>
      <c r="E25" t="s">
        <v>1853</v>
      </c>
      <c r="F25">
        <v>636</v>
      </c>
      <c r="G25" t="s">
        <v>1938</v>
      </c>
    </row>
    <row r="26" spans="1:7" x14ac:dyDescent="0.25">
      <c r="A26" t="s">
        <v>340</v>
      </c>
      <c r="B26" t="s">
        <v>1939</v>
      </c>
      <c r="C26" t="s">
        <v>1940</v>
      </c>
      <c r="D26" t="s">
        <v>1941</v>
      </c>
      <c r="E26" t="s">
        <v>1853</v>
      </c>
      <c r="F26">
        <v>836</v>
      </c>
      <c r="G26" t="s">
        <v>1942</v>
      </c>
    </row>
    <row r="27" spans="1:7" x14ac:dyDescent="0.25">
      <c r="A27" t="s">
        <v>268</v>
      </c>
      <c r="B27" t="s">
        <v>1943</v>
      </c>
      <c r="C27" t="s">
        <v>1944</v>
      </c>
      <c r="D27" t="s">
        <v>1945</v>
      </c>
      <c r="E27" t="s">
        <v>1853</v>
      </c>
      <c r="F27">
        <v>579</v>
      </c>
      <c r="G27" t="s">
        <v>1946</v>
      </c>
    </row>
    <row r="28" spans="1:7" x14ac:dyDescent="0.25">
      <c r="A28" t="s">
        <v>196</v>
      </c>
      <c r="B28" t="s">
        <v>1947</v>
      </c>
      <c r="C28" t="s">
        <v>1948</v>
      </c>
      <c r="D28" t="s">
        <v>1949</v>
      </c>
      <c r="E28" t="s">
        <v>1853</v>
      </c>
      <c r="F28">
        <v>372</v>
      </c>
      <c r="G28" t="s">
        <v>1950</v>
      </c>
    </row>
    <row r="29" spans="1:7" x14ac:dyDescent="0.25">
      <c r="A29" t="s">
        <v>124</v>
      </c>
      <c r="B29" t="s">
        <v>1951</v>
      </c>
      <c r="C29" t="s">
        <v>1952</v>
      </c>
      <c r="D29" t="s">
        <v>1953</v>
      </c>
      <c r="E29" t="s">
        <v>1853</v>
      </c>
      <c r="F29">
        <v>0</v>
      </c>
      <c r="G29" t="s">
        <v>1954</v>
      </c>
    </row>
    <row r="30" spans="1:7" x14ac:dyDescent="0.25">
      <c r="A30" t="s">
        <v>42</v>
      </c>
      <c r="B30" t="s">
        <v>1955</v>
      </c>
      <c r="C30" t="s">
        <v>1956</v>
      </c>
      <c r="D30" t="s">
        <v>1957</v>
      </c>
      <c r="E30" t="s">
        <v>1853</v>
      </c>
      <c r="F30">
        <v>577</v>
      </c>
      <c r="G30" t="s">
        <v>1958</v>
      </c>
    </row>
    <row r="31" spans="1:7" x14ac:dyDescent="0.25">
      <c r="A31" t="s">
        <v>474</v>
      </c>
      <c r="B31" t="s">
        <v>1959</v>
      </c>
      <c r="C31" t="s">
        <v>1960</v>
      </c>
      <c r="D31" t="s">
        <v>1961</v>
      </c>
      <c r="E31" t="s">
        <v>1853</v>
      </c>
      <c r="F31">
        <v>796</v>
      </c>
      <c r="G31" t="s">
        <v>1962</v>
      </c>
    </row>
    <row r="32" spans="1:7" x14ac:dyDescent="0.25">
      <c r="A32" t="s">
        <v>414</v>
      </c>
      <c r="B32" t="s">
        <v>1963</v>
      </c>
      <c r="C32" t="s">
        <v>1964</v>
      </c>
      <c r="D32" t="s">
        <v>1965</v>
      </c>
      <c r="E32" t="s">
        <v>1853</v>
      </c>
      <c r="F32">
        <v>835</v>
      </c>
      <c r="G32" t="s">
        <v>1966</v>
      </c>
    </row>
    <row r="33" spans="1:7" x14ac:dyDescent="0.25">
      <c r="A33" t="s">
        <v>346</v>
      </c>
      <c r="B33" t="s">
        <v>1967</v>
      </c>
      <c r="C33" t="s">
        <v>1968</v>
      </c>
      <c r="D33" t="s">
        <v>1969</v>
      </c>
      <c r="E33" t="s">
        <v>1853</v>
      </c>
      <c r="F33">
        <v>214</v>
      </c>
      <c r="G33" t="s">
        <v>1970</v>
      </c>
    </row>
    <row r="34" spans="1:7" x14ac:dyDescent="0.25">
      <c r="A34" t="s">
        <v>274</v>
      </c>
      <c r="B34" t="s">
        <v>1971</v>
      </c>
      <c r="C34" t="s">
        <v>1972</v>
      </c>
      <c r="D34" t="s">
        <v>1973</v>
      </c>
      <c r="E34" t="s">
        <v>1853</v>
      </c>
      <c r="F34">
        <v>748</v>
      </c>
      <c r="G34" t="s">
        <v>1974</v>
      </c>
    </row>
    <row r="35" spans="1:7" x14ac:dyDescent="0.25">
      <c r="A35" t="s">
        <v>202</v>
      </c>
      <c r="B35" t="s">
        <v>1975</v>
      </c>
      <c r="C35" t="s">
        <v>1976</v>
      </c>
      <c r="D35" t="s">
        <v>1977</v>
      </c>
      <c r="E35" t="s">
        <v>1853</v>
      </c>
      <c r="F35">
        <v>451</v>
      </c>
      <c r="G35" t="s">
        <v>1978</v>
      </c>
    </row>
    <row r="36" spans="1:7" x14ac:dyDescent="0.25">
      <c r="A36" t="s">
        <v>130</v>
      </c>
      <c r="B36" t="s">
        <v>1979</v>
      </c>
      <c r="C36" t="s">
        <v>1980</v>
      </c>
      <c r="D36" t="s">
        <v>1981</v>
      </c>
      <c r="E36" t="s">
        <v>1853</v>
      </c>
      <c r="F36">
        <v>0</v>
      </c>
      <c r="G36" t="s">
        <v>1982</v>
      </c>
    </row>
    <row r="37" spans="1:7" x14ac:dyDescent="0.25">
      <c r="A37" t="s">
        <v>49</v>
      </c>
      <c r="B37" t="s">
        <v>1983</v>
      </c>
      <c r="C37" t="s">
        <v>1984</v>
      </c>
      <c r="D37" t="s">
        <v>1985</v>
      </c>
      <c r="E37" t="s">
        <v>1853</v>
      </c>
      <c r="F37">
        <v>153</v>
      </c>
      <c r="G37" t="s">
        <v>1986</v>
      </c>
    </row>
    <row r="38" spans="1:7" x14ac:dyDescent="0.25">
      <c r="A38" t="s">
        <v>479</v>
      </c>
      <c r="B38" t="s">
        <v>1987</v>
      </c>
      <c r="C38" t="s">
        <v>1988</v>
      </c>
      <c r="D38" t="s">
        <v>1989</v>
      </c>
      <c r="E38" t="s">
        <v>1853</v>
      </c>
      <c r="F38">
        <v>632</v>
      </c>
      <c r="G38" t="s">
        <v>1990</v>
      </c>
    </row>
    <row r="39" spans="1:7" x14ac:dyDescent="0.25">
      <c r="A39" t="s">
        <v>419</v>
      </c>
      <c r="B39" t="s">
        <v>1991</v>
      </c>
      <c r="C39" t="s">
        <v>1992</v>
      </c>
      <c r="D39" t="s">
        <v>1993</v>
      </c>
      <c r="E39" t="s">
        <v>1853</v>
      </c>
      <c r="F39">
        <v>288</v>
      </c>
      <c r="G39" t="s">
        <v>1994</v>
      </c>
    </row>
    <row r="40" spans="1:7" x14ac:dyDescent="0.25">
      <c r="A40" t="s">
        <v>352</v>
      </c>
      <c r="B40" t="s">
        <v>1995</v>
      </c>
      <c r="C40" t="s">
        <v>1996</v>
      </c>
      <c r="D40" t="s">
        <v>1997</v>
      </c>
      <c r="E40" t="s">
        <v>1853</v>
      </c>
      <c r="F40">
        <v>683</v>
      </c>
      <c r="G40" t="s">
        <v>1998</v>
      </c>
    </row>
    <row r="41" spans="1:7" x14ac:dyDescent="0.25">
      <c r="A41" t="s">
        <v>280</v>
      </c>
      <c r="B41" t="s">
        <v>1999</v>
      </c>
      <c r="C41" t="s">
        <v>2000</v>
      </c>
      <c r="D41" t="s">
        <v>2001</v>
      </c>
      <c r="E41" t="s">
        <v>1853</v>
      </c>
      <c r="F41">
        <v>80</v>
      </c>
      <c r="G41" t="s">
        <v>2002</v>
      </c>
    </row>
    <row r="42" spans="1:7" x14ac:dyDescent="0.25">
      <c r="A42" t="s">
        <v>208</v>
      </c>
      <c r="B42" t="s">
        <v>2003</v>
      </c>
      <c r="C42" t="s">
        <v>2004</v>
      </c>
      <c r="D42" t="s">
        <v>2005</v>
      </c>
      <c r="E42" t="s">
        <v>1853</v>
      </c>
      <c r="F42">
        <v>574</v>
      </c>
      <c r="G42" t="s">
        <v>2006</v>
      </c>
    </row>
    <row r="43" spans="1:7" x14ac:dyDescent="0.25">
      <c r="A43" t="s">
        <v>136</v>
      </c>
      <c r="B43" t="s">
        <v>2007</v>
      </c>
      <c r="C43" t="s">
        <v>2008</v>
      </c>
      <c r="D43" t="s">
        <v>2009</v>
      </c>
      <c r="E43" t="s">
        <v>1853</v>
      </c>
      <c r="F43">
        <v>0</v>
      </c>
      <c r="G43" t="s">
        <v>2010</v>
      </c>
    </row>
    <row r="44" spans="1:7" x14ac:dyDescent="0.25">
      <c r="A44" t="s">
        <v>59</v>
      </c>
      <c r="B44" t="s">
        <v>2011</v>
      </c>
      <c r="C44" t="s">
        <v>2012</v>
      </c>
      <c r="D44" t="s">
        <v>2013</v>
      </c>
      <c r="E44" t="s">
        <v>1853</v>
      </c>
      <c r="F44">
        <v>424</v>
      </c>
      <c r="G44" t="s">
        <v>2014</v>
      </c>
    </row>
    <row r="45" spans="1:7" x14ac:dyDescent="0.25">
      <c r="A45" t="s">
        <v>484</v>
      </c>
      <c r="B45" t="s">
        <v>2015</v>
      </c>
      <c r="C45" t="s">
        <v>2016</v>
      </c>
      <c r="D45" t="s">
        <v>2017</v>
      </c>
      <c r="E45" t="s">
        <v>1853</v>
      </c>
      <c r="F45">
        <v>835</v>
      </c>
      <c r="G45" t="s">
        <v>2018</v>
      </c>
    </row>
    <row r="46" spans="1:7" x14ac:dyDescent="0.25">
      <c r="A46" t="s">
        <v>424</v>
      </c>
      <c r="B46" t="s">
        <v>2019</v>
      </c>
      <c r="C46" t="s">
        <v>2020</v>
      </c>
      <c r="D46" t="s">
        <v>2021</v>
      </c>
      <c r="E46" t="s">
        <v>1853</v>
      </c>
      <c r="F46">
        <v>882</v>
      </c>
      <c r="G46" t="s">
        <v>2022</v>
      </c>
    </row>
    <row r="47" spans="1:7" x14ac:dyDescent="0.25">
      <c r="A47" t="s">
        <v>358</v>
      </c>
      <c r="B47" t="s">
        <v>2023</v>
      </c>
      <c r="C47" t="s">
        <v>2024</v>
      </c>
      <c r="D47" t="s">
        <v>2025</v>
      </c>
      <c r="E47" t="s">
        <v>1853</v>
      </c>
      <c r="F47">
        <v>742</v>
      </c>
      <c r="G47" t="s">
        <v>2026</v>
      </c>
    </row>
    <row r="48" spans="1:7" x14ac:dyDescent="0.25">
      <c r="A48" t="s">
        <v>286</v>
      </c>
      <c r="B48" t="s">
        <v>2027</v>
      </c>
      <c r="C48" t="s">
        <v>2028</v>
      </c>
      <c r="D48" t="s">
        <v>2029</v>
      </c>
      <c r="E48" t="s">
        <v>1853</v>
      </c>
      <c r="F48">
        <v>80</v>
      </c>
      <c r="G48" t="s">
        <v>2030</v>
      </c>
    </row>
    <row r="49" spans="1:7" x14ac:dyDescent="0.25">
      <c r="A49" t="s">
        <v>214</v>
      </c>
      <c r="B49" t="s">
        <v>2031</v>
      </c>
      <c r="C49" t="s">
        <v>2032</v>
      </c>
      <c r="D49" t="s">
        <v>2033</v>
      </c>
      <c r="E49" t="s">
        <v>1853</v>
      </c>
      <c r="F49">
        <v>56</v>
      </c>
      <c r="G49" t="s">
        <v>2034</v>
      </c>
    </row>
    <row r="50" spans="1:7" x14ac:dyDescent="0.25">
      <c r="A50" t="s">
        <v>142</v>
      </c>
      <c r="B50" t="s">
        <v>2035</v>
      </c>
      <c r="C50" t="s">
        <v>2036</v>
      </c>
      <c r="D50" t="s">
        <v>2037</v>
      </c>
      <c r="E50" t="s">
        <v>1853</v>
      </c>
      <c r="F50">
        <v>0</v>
      </c>
      <c r="G50" t="s">
        <v>2038</v>
      </c>
    </row>
    <row r="51" spans="1:7" x14ac:dyDescent="0.25">
      <c r="A51" t="s">
        <v>67</v>
      </c>
      <c r="B51" t="s">
        <v>2039</v>
      </c>
      <c r="C51" t="s">
        <v>2040</v>
      </c>
      <c r="D51" t="s">
        <v>2041</v>
      </c>
      <c r="E51" t="s">
        <v>1853</v>
      </c>
      <c r="F51">
        <v>77</v>
      </c>
      <c r="G51" t="s">
        <v>2042</v>
      </c>
    </row>
    <row r="52" spans="1:7" x14ac:dyDescent="0.25">
      <c r="A52" t="s">
        <v>489</v>
      </c>
      <c r="B52" t="s">
        <v>2043</v>
      </c>
      <c r="C52" t="s">
        <v>2044</v>
      </c>
      <c r="D52" t="s">
        <v>2045</v>
      </c>
      <c r="E52" t="s">
        <v>1853</v>
      </c>
      <c r="F52">
        <v>444</v>
      </c>
      <c r="G52" t="s">
        <v>2046</v>
      </c>
    </row>
    <row r="53" spans="1:7" x14ac:dyDescent="0.25">
      <c r="A53" t="s">
        <v>429</v>
      </c>
      <c r="B53" t="s">
        <v>2047</v>
      </c>
      <c r="C53" t="s">
        <v>2048</v>
      </c>
      <c r="D53" t="s">
        <v>2049</v>
      </c>
      <c r="E53" t="s">
        <v>1853</v>
      </c>
      <c r="F53">
        <v>554</v>
      </c>
      <c r="G53" t="s">
        <v>2050</v>
      </c>
    </row>
    <row r="54" spans="1:7" x14ac:dyDescent="0.25">
      <c r="A54" t="s">
        <v>364</v>
      </c>
      <c r="B54" t="s">
        <v>2051</v>
      </c>
      <c r="C54" t="s">
        <v>2052</v>
      </c>
      <c r="D54" t="s">
        <v>2053</v>
      </c>
      <c r="E54" t="s">
        <v>1853</v>
      </c>
      <c r="F54">
        <v>565</v>
      </c>
      <c r="G54" t="s">
        <v>2054</v>
      </c>
    </row>
    <row r="55" spans="1:7" x14ac:dyDescent="0.25">
      <c r="A55" t="s">
        <v>292</v>
      </c>
      <c r="B55" t="s">
        <v>2055</v>
      </c>
      <c r="C55" t="s">
        <v>2056</v>
      </c>
      <c r="D55" t="s">
        <v>2057</v>
      </c>
      <c r="E55" t="s">
        <v>1853</v>
      </c>
      <c r="F55">
        <v>893</v>
      </c>
      <c r="G55" t="s">
        <v>2058</v>
      </c>
    </row>
    <row r="56" spans="1:7" x14ac:dyDescent="0.25">
      <c r="A56" t="s">
        <v>220</v>
      </c>
      <c r="B56" t="s">
        <v>2059</v>
      </c>
      <c r="C56" t="s">
        <v>2060</v>
      </c>
      <c r="D56" t="s">
        <v>2061</v>
      </c>
      <c r="E56" t="s">
        <v>1853</v>
      </c>
      <c r="F56">
        <v>575</v>
      </c>
      <c r="G56" t="s">
        <v>2062</v>
      </c>
    </row>
    <row r="57" spans="1:7" x14ac:dyDescent="0.25">
      <c r="A57" t="s">
        <v>148</v>
      </c>
      <c r="B57" t="s">
        <v>2063</v>
      </c>
      <c r="C57" t="s">
        <v>2064</v>
      </c>
      <c r="D57" t="s">
        <v>2065</v>
      </c>
      <c r="E57" t="s">
        <v>1853</v>
      </c>
      <c r="F57">
        <v>0</v>
      </c>
      <c r="G57" t="s">
        <v>2066</v>
      </c>
    </row>
    <row r="58" spans="1:7" x14ac:dyDescent="0.25">
      <c r="A58" t="s">
        <v>75</v>
      </c>
      <c r="B58" t="s">
        <v>2067</v>
      </c>
      <c r="C58" t="s">
        <v>2068</v>
      </c>
      <c r="D58" t="s">
        <v>2069</v>
      </c>
      <c r="E58" t="s">
        <v>1853</v>
      </c>
      <c r="F58">
        <v>760</v>
      </c>
      <c r="G58" t="s">
        <v>2070</v>
      </c>
    </row>
    <row r="59" spans="1:7" x14ac:dyDescent="0.25">
      <c r="A59" t="s">
        <v>494</v>
      </c>
      <c r="B59" t="s">
        <v>2071</v>
      </c>
      <c r="C59" t="s">
        <v>2072</v>
      </c>
      <c r="D59" t="s">
        <v>2073</v>
      </c>
      <c r="E59" t="s">
        <v>1853</v>
      </c>
      <c r="F59">
        <v>599</v>
      </c>
      <c r="G59" t="s">
        <v>2074</v>
      </c>
    </row>
    <row r="60" spans="1:7" x14ac:dyDescent="0.25">
      <c r="A60" t="s">
        <v>434</v>
      </c>
      <c r="B60" t="s">
        <v>2075</v>
      </c>
      <c r="C60" t="s">
        <v>2076</v>
      </c>
      <c r="D60" t="s">
        <v>2077</v>
      </c>
      <c r="E60" t="s">
        <v>1853</v>
      </c>
      <c r="F60">
        <v>728</v>
      </c>
      <c r="G60" t="s">
        <v>2078</v>
      </c>
    </row>
    <row r="61" spans="1:7" x14ac:dyDescent="0.25">
      <c r="A61" t="s">
        <v>370</v>
      </c>
      <c r="B61" t="s">
        <v>2079</v>
      </c>
      <c r="C61" t="s">
        <v>2080</v>
      </c>
      <c r="D61" t="s">
        <v>2081</v>
      </c>
      <c r="E61" t="s">
        <v>1853</v>
      </c>
      <c r="F61">
        <v>678</v>
      </c>
      <c r="G61" t="s">
        <v>2082</v>
      </c>
    </row>
    <row r="62" spans="1:7" x14ac:dyDescent="0.25">
      <c r="A62" t="s">
        <v>298</v>
      </c>
      <c r="B62" t="s">
        <v>1840</v>
      </c>
      <c r="C62" t="s">
        <v>2083</v>
      </c>
      <c r="D62" t="s">
        <v>2084</v>
      </c>
      <c r="E62" t="s">
        <v>1853</v>
      </c>
      <c r="F62">
        <v>286</v>
      </c>
      <c r="G62" t="s">
        <v>2085</v>
      </c>
    </row>
    <row r="63" spans="1:7" x14ac:dyDescent="0.25">
      <c r="A63" t="s">
        <v>226</v>
      </c>
      <c r="B63" t="s">
        <v>1845</v>
      </c>
      <c r="C63" t="s">
        <v>2086</v>
      </c>
      <c r="D63" t="s">
        <v>2087</v>
      </c>
      <c r="E63" t="s">
        <v>1853</v>
      </c>
      <c r="F63">
        <v>322</v>
      </c>
      <c r="G63" t="s">
        <v>2088</v>
      </c>
    </row>
    <row r="64" spans="1:7" x14ac:dyDescent="0.25">
      <c r="A64" t="s">
        <v>154</v>
      </c>
      <c r="B64" t="s">
        <v>1850</v>
      </c>
      <c r="C64" t="s">
        <v>2089</v>
      </c>
      <c r="D64" t="s">
        <v>2090</v>
      </c>
      <c r="E64" t="s">
        <v>1853</v>
      </c>
      <c r="F64">
        <v>0</v>
      </c>
      <c r="G64" t="s">
        <v>2091</v>
      </c>
    </row>
    <row r="65" spans="1:7" x14ac:dyDescent="0.25">
      <c r="A65" t="s">
        <v>82</v>
      </c>
      <c r="B65" t="s">
        <v>1855</v>
      </c>
      <c r="C65" t="s">
        <v>2092</v>
      </c>
      <c r="D65" t="s">
        <v>2093</v>
      </c>
      <c r="E65" t="s">
        <v>1853</v>
      </c>
      <c r="F65">
        <v>733</v>
      </c>
      <c r="G65" t="s">
        <v>2094</v>
      </c>
    </row>
    <row r="66" spans="1:7" x14ac:dyDescent="0.25">
      <c r="A66" t="s">
        <v>499</v>
      </c>
      <c r="B66" t="s">
        <v>1859</v>
      </c>
      <c r="C66" t="s">
        <v>2095</v>
      </c>
      <c r="D66" t="s">
        <v>2096</v>
      </c>
      <c r="E66" t="s">
        <v>1853</v>
      </c>
      <c r="F66">
        <v>81</v>
      </c>
      <c r="G66" t="s">
        <v>2097</v>
      </c>
    </row>
    <row r="67" spans="1:7" x14ac:dyDescent="0.25">
      <c r="A67" t="s">
        <v>439</v>
      </c>
      <c r="B67" t="s">
        <v>1863</v>
      </c>
      <c r="C67" t="s">
        <v>2098</v>
      </c>
      <c r="D67" t="s">
        <v>2099</v>
      </c>
      <c r="E67" t="s">
        <v>1853</v>
      </c>
      <c r="F67">
        <v>243</v>
      </c>
      <c r="G67" t="s">
        <v>2100</v>
      </c>
    </row>
    <row r="68" spans="1:7" x14ac:dyDescent="0.25">
      <c r="A68" t="s">
        <v>376</v>
      </c>
      <c r="B68" t="s">
        <v>1867</v>
      </c>
      <c r="C68" t="s">
        <v>2101</v>
      </c>
      <c r="D68" t="s">
        <v>2102</v>
      </c>
      <c r="E68" t="s">
        <v>1853</v>
      </c>
      <c r="F68">
        <v>351</v>
      </c>
      <c r="G68" t="s">
        <v>2103</v>
      </c>
    </row>
    <row r="69" spans="1:7" x14ac:dyDescent="0.25">
      <c r="A69" t="s">
        <v>304</v>
      </c>
      <c r="B69" t="s">
        <v>1871</v>
      </c>
      <c r="C69" t="s">
        <v>2104</v>
      </c>
      <c r="D69" t="s">
        <v>2105</v>
      </c>
      <c r="E69" t="s">
        <v>1853</v>
      </c>
      <c r="F69">
        <v>612</v>
      </c>
      <c r="G69" t="s">
        <v>2106</v>
      </c>
    </row>
    <row r="70" spans="1:7" x14ac:dyDescent="0.25">
      <c r="A70" t="s">
        <v>232</v>
      </c>
      <c r="B70" t="s">
        <v>1875</v>
      </c>
      <c r="C70" t="s">
        <v>2107</v>
      </c>
      <c r="D70" t="s">
        <v>2108</v>
      </c>
      <c r="E70" t="s">
        <v>1853</v>
      </c>
      <c r="F70">
        <v>732</v>
      </c>
      <c r="G70" t="s">
        <v>2109</v>
      </c>
    </row>
    <row r="71" spans="1:7" x14ac:dyDescent="0.25">
      <c r="A71" t="s">
        <v>160</v>
      </c>
      <c r="B71" t="s">
        <v>1879</v>
      </c>
      <c r="C71" t="s">
        <v>2110</v>
      </c>
      <c r="D71" t="s">
        <v>2111</v>
      </c>
      <c r="E71" t="s">
        <v>1853</v>
      </c>
      <c r="F71">
        <v>0</v>
      </c>
      <c r="G71" t="s">
        <v>2112</v>
      </c>
    </row>
    <row r="72" spans="1:7" x14ac:dyDescent="0.25">
      <c r="A72" t="s">
        <v>88</v>
      </c>
      <c r="B72" t="s">
        <v>1883</v>
      </c>
      <c r="C72" t="s">
        <v>2113</v>
      </c>
      <c r="D72" t="s">
        <v>2114</v>
      </c>
      <c r="E72" t="s">
        <v>1853</v>
      </c>
      <c r="F72">
        <v>536</v>
      </c>
      <c r="G72" t="s">
        <v>2115</v>
      </c>
    </row>
    <row r="73" spans="1:7" x14ac:dyDescent="0.25">
      <c r="A73" t="s">
        <v>504</v>
      </c>
      <c r="B73" t="s">
        <v>1887</v>
      </c>
      <c r="C73" t="s">
        <v>2116</v>
      </c>
      <c r="D73" t="s">
        <v>2117</v>
      </c>
      <c r="E73" t="s">
        <v>1853</v>
      </c>
      <c r="F73">
        <v>290</v>
      </c>
      <c r="G73" t="s">
        <v>2118</v>
      </c>
    </row>
    <row r="74" spans="1:7" x14ac:dyDescent="0.25">
      <c r="A74" t="s">
        <v>444</v>
      </c>
      <c r="B74" t="s">
        <v>1891</v>
      </c>
      <c r="C74" t="s">
        <v>2119</v>
      </c>
      <c r="D74" t="s">
        <v>2120</v>
      </c>
      <c r="E74" t="s">
        <v>1853</v>
      </c>
      <c r="F74">
        <v>702</v>
      </c>
      <c r="G74" t="s">
        <v>2121</v>
      </c>
    </row>
    <row r="75" spans="1:7" x14ac:dyDescent="0.25">
      <c r="A75" t="s">
        <v>382</v>
      </c>
      <c r="B75" t="s">
        <v>1895</v>
      </c>
      <c r="C75" t="s">
        <v>2122</v>
      </c>
      <c r="D75" t="s">
        <v>2123</v>
      </c>
      <c r="E75" t="s">
        <v>1853</v>
      </c>
      <c r="F75">
        <v>566</v>
      </c>
      <c r="G75" t="s">
        <v>2124</v>
      </c>
    </row>
    <row r="76" spans="1:7" x14ac:dyDescent="0.25">
      <c r="A76" t="s">
        <v>310</v>
      </c>
      <c r="B76" t="s">
        <v>1899</v>
      </c>
      <c r="C76" t="s">
        <v>2125</v>
      </c>
      <c r="D76" t="s">
        <v>2126</v>
      </c>
      <c r="E76" t="s">
        <v>1853</v>
      </c>
      <c r="F76">
        <v>702</v>
      </c>
      <c r="G76" t="s">
        <v>2127</v>
      </c>
    </row>
    <row r="77" spans="1:7" x14ac:dyDescent="0.25">
      <c r="A77" t="s">
        <v>238</v>
      </c>
      <c r="B77" t="s">
        <v>1903</v>
      </c>
      <c r="C77" t="s">
        <v>2128</v>
      </c>
      <c r="D77" t="s">
        <v>2129</v>
      </c>
      <c r="E77" t="s">
        <v>1853</v>
      </c>
      <c r="F77">
        <v>272</v>
      </c>
      <c r="G77" t="s">
        <v>2130</v>
      </c>
    </row>
    <row r="78" spans="1:7" x14ac:dyDescent="0.25">
      <c r="A78" t="s">
        <v>166</v>
      </c>
      <c r="B78" t="s">
        <v>1907</v>
      </c>
      <c r="C78" t="s">
        <v>2131</v>
      </c>
      <c r="D78" t="s">
        <v>2132</v>
      </c>
      <c r="E78" t="s">
        <v>1853</v>
      </c>
      <c r="F78">
        <v>0</v>
      </c>
      <c r="G78" t="s">
        <v>2133</v>
      </c>
    </row>
    <row r="79" spans="1:7" x14ac:dyDescent="0.25">
      <c r="A79" t="s">
        <v>94</v>
      </c>
      <c r="B79" t="s">
        <v>1911</v>
      </c>
      <c r="C79" t="s">
        <v>2134</v>
      </c>
      <c r="D79" t="s">
        <v>2135</v>
      </c>
      <c r="E79" t="s">
        <v>1853</v>
      </c>
      <c r="F79">
        <v>66</v>
      </c>
      <c r="G79" t="s">
        <v>2136</v>
      </c>
    </row>
    <row r="80" spans="1:7" x14ac:dyDescent="0.25">
      <c r="A80" t="s">
        <v>509</v>
      </c>
      <c r="B80" t="s">
        <v>1915</v>
      </c>
      <c r="C80" t="s">
        <v>2137</v>
      </c>
      <c r="D80" t="s">
        <v>2138</v>
      </c>
      <c r="E80" t="s">
        <v>1853</v>
      </c>
      <c r="F80">
        <v>330</v>
      </c>
      <c r="G80" t="s">
        <v>2139</v>
      </c>
    </row>
    <row r="81" spans="1:7" x14ac:dyDescent="0.25">
      <c r="A81" t="s">
        <v>449</v>
      </c>
      <c r="B81" t="s">
        <v>1919</v>
      </c>
      <c r="C81" t="s">
        <v>2140</v>
      </c>
      <c r="D81" t="s">
        <v>2141</v>
      </c>
      <c r="E81" t="s">
        <v>1853</v>
      </c>
      <c r="F81">
        <v>111</v>
      </c>
      <c r="G81" t="s">
        <v>2142</v>
      </c>
    </row>
    <row r="82" spans="1:7" x14ac:dyDescent="0.25">
      <c r="A82" t="s">
        <v>388</v>
      </c>
      <c r="B82" t="s">
        <v>1923</v>
      </c>
      <c r="C82" t="s">
        <v>2143</v>
      </c>
      <c r="D82" t="s">
        <v>2144</v>
      </c>
      <c r="E82" t="s">
        <v>1853</v>
      </c>
      <c r="F82">
        <v>791</v>
      </c>
      <c r="G82" t="s">
        <v>2145</v>
      </c>
    </row>
    <row r="83" spans="1:7" x14ac:dyDescent="0.25">
      <c r="A83" t="s">
        <v>316</v>
      </c>
      <c r="B83" t="s">
        <v>1927</v>
      </c>
      <c r="C83" t="s">
        <v>2146</v>
      </c>
      <c r="D83" t="s">
        <v>2147</v>
      </c>
      <c r="E83" t="s">
        <v>1853</v>
      </c>
      <c r="F83">
        <v>522</v>
      </c>
      <c r="G83" t="s">
        <v>2148</v>
      </c>
    </row>
    <row r="84" spans="1:7" x14ac:dyDescent="0.25">
      <c r="A84" t="s">
        <v>244</v>
      </c>
      <c r="B84" t="s">
        <v>1931</v>
      </c>
      <c r="C84" t="s">
        <v>2149</v>
      </c>
      <c r="D84" t="s">
        <v>2150</v>
      </c>
      <c r="E84" t="s">
        <v>1853</v>
      </c>
      <c r="F84">
        <v>838</v>
      </c>
      <c r="G84" t="s">
        <v>2151</v>
      </c>
    </row>
    <row r="85" spans="1:7" x14ac:dyDescent="0.25">
      <c r="A85" t="s">
        <v>172</v>
      </c>
      <c r="B85" t="s">
        <v>1935</v>
      </c>
      <c r="C85" t="s">
        <v>2152</v>
      </c>
      <c r="D85" t="s">
        <v>2153</v>
      </c>
      <c r="E85" t="s">
        <v>1853</v>
      </c>
      <c r="F85">
        <v>0</v>
      </c>
      <c r="G85" t="s">
        <v>2154</v>
      </c>
    </row>
    <row r="86" spans="1:7" x14ac:dyDescent="0.25">
      <c r="A86" t="s">
        <v>100</v>
      </c>
      <c r="B86" t="s">
        <v>1939</v>
      </c>
      <c r="C86" t="s">
        <v>2155</v>
      </c>
      <c r="D86" t="s">
        <v>2156</v>
      </c>
      <c r="E86" t="s">
        <v>1853</v>
      </c>
      <c r="F86">
        <v>306</v>
      </c>
      <c r="G86" t="s">
        <v>2157</v>
      </c>
    </row>
    <row r="87" spans="1:7" x14ac:dyDescent="0.25">
      <c r="A87" t="s">
        <v>2158</v>
      </c>
      <c r="B87" t="s">
        <v>1943</v>
      </c>
      <c r="C87" t="s">
        <v>2159</v>
      </c>
      <c r="D87" t="s">
        <v>2160</v>
      </c>
      <c r="E87" t="s">
        <v>1853</v>
      </c>
      <c r="F87">
        <v>136</v>
      </c>
      <c r="G87" t="s">
        <v>2161</v>
      </c>
    </row>
    <row r="88" spans="1:7" x14ac:dyDescent="0.25">
      <c r="A88" t="s">
        <v>2162</v>
      </c>
      <c r="B88" t="s">
        <v>1947</v>
      </c>
      <c r="C88" t="s">
        <v>2163</v>
      </c>
      <c r="D88" t="s">
        <v>2164</v>
      </c>
      <c r="E88" t="s">
        <v>1853</v>
      </c>
      <c r="F88">
        <v>55</v>
      </c>
      <c r="G88" t="s">
        <v>2165</v>
      </c>
    </row>
    <row r="89" spans="1:7" x14ac:dyDescent="0.25">
      <c r="A89" t="s">
        <v>2166</v>
      </c>
      <c r="B89" t="s">
        <v>1951</v>
      </c>
      <c r="C89" t="s">
        <v>2167</v>
      </c>
      <c r="D89" t="s">
        <v>2168</v>
      </c>
      <c r="E89" t="s">
        <v>1853</v>
      </c>
      <c r="F89">
        <v>109</v>
      </c>
      <c r="G89" t="s">
        <v>2169</v>
      </c>
    </row>
    <row r="90" spans="1:7" x14ac:dyDescent="0.25">
      <c r="A90" t="s">
        <v>2170</v>
      </c>
      <c r="B90" t="s">
        <v>1955</v>
      </c>
      <c r="C90" t="s">
        <v>2171</v>
      </c>
      <c r="D90" t="s">
        <v>2172</v>
      </c>
      <c r="E90" t="s">
        <v>1853</v>
      </c>
      <c r="F90">
        <v>373</v>
      </c>
      <c r="G90" t="s">
        <v>2173</v>
      </c>
    </row>
    <row r="91" spans="1:7" x14ac:dyDescent="0.25">
      <c r="A91" t="s">
        <v>2174</v>
      </c>
      <c r="B91" t="s">
        <v>1959</v>
      </c>
      <c r="C91" t="s">
        <v>2175</v>
      </c>
      <c r="D91" t="s">
        <v>2176</v>
      </c>
      <c r="E91" t="s">
        <v>1853</v>
      </c>
      <c r="F91">
        <v>398</v>
      </c>
      <c r="G91" t="s">
        <v>2177</v>
      </c>
    </row>
    <row r="92" spans="1:7" x14ac:dyDescent="0.25">
      <c r="A92" t="s">
        <v>2178</v>
      </c>
      <c r="B92" t="s">
        <v>1963</v>
      </c>
      <c r="C92" t="s">
        <v>2179</v>
      </c>
      <c r="D92" t="s">
        <v>2180</v>
      </c>
      <c r="E92" t="s">
        <v>1853</v>
      </c>
      <c r="F92">
        <v>0</v>
      </c>
      <c r="G92" t="s">
        <v>2181</v>
      </c>
    </row>
    <row r="93" spans="1:7" x14ac:dyDescent="0.25">
      <c r="A93" t="s">
        <v>2182</v>
      </c>
      <c r="B93" t="s">
        <v>1967</v>
      </c>
      <c r="C93" t="s">
        <v>2183</v>
      </c>
      <c r="D93" t="s">
        <v>2184</v>
      </c>
      <c r="E93" t="s">
        <v>1853</v>
      </c>
      <c r="F93">
        <v>883</v>
      </c>
      <c r="G93" t="s">
        <v>2185</v>
      </c>
    </row>
    <row r="94" spans="1:7" x14ac:dyDescent="0.25">
      <c r="A94" t="s">
        <v>2186</v>
      </c>
      <c r="B94" t="s">
        <v>1971</v>
      </c>
      <c r="C94" t="s">
        <v>2187</v>
      </c>
      <c r="D94" t="s">
        <v>2188</v>
      </c>
      <c r="E94" t="s">
        <v>1853</v>
      </c>
      <c r="F94">
        <v>270</v>
      </c>
      <c r="G94" t="s">
        <v>2189</v>
      </c>
    </row>
    <row r="95" spans="1:7" x14ac:dyDescent="0.25">
      <c r="A95" t="s">
        <v>2190</v>
      </c>
      <c r="B95" t="s">
        <v>1975</v>
      </c>
      <c r="C95" t="s">
        <v>2191</v>
      </c>
      <c r="D95" t="s">
        <v>2192</v>
      </c>
      <c r="E95" t="s">
        <v>1853</v>
      </c>
      <c r="F95">
        <v>574</v>
      </c>
      <c r="G95" t="s">
        <v>2193</v>
      </c>
    </row>
    <row r="96" spans="1:7" x14ac:dyDescent="0.25">
      <c r="A96" t="s">
        <v>2194</v>
      </c>
      <c r="B96" t="s">
        <v>1979</v>
      </c>
      <c r="C96" t="s">
        <v>2195</v>
      </c>
      <c r="D96" t="s">
        <v>2196</v>
      </c>
      <c r="E96" t="s">
        <v>1853</v>
      </c>
      <c r="F96">
        <v>747</v>
      </c>
      <c r="G96" t="s">
        <v>2197</v>
      </c>
    </row>
    <row r="97" spans="1:7" x14ac:dyDescent="0.25">
      <c r="A97" t="s">
        <v>2198</v>
      </c>
      <c r="B97" t="s">
        <v>1983</v>
      </c>
      <c r="C97" t="s">
        <v>2199</v>
      </c>
      <c r="D97" t="s">
        <v>2200</v>
      </c>
      <c r="E97" t="s">
        <v>1853</v>
      </c>
      <c r="F97">
        <v>340</v>
      </c>
      <c r="G97" t="s">
        <v>2201</v>
      </c>
    </row>
    <row r="98" spans="1:7" x14ac:dyDescent="0.25">
      <c r="A98" t="s">
        <v>2202</v>
      </c>
      <c r="B98" t="s">
        <v>1987</v>
      </c>
      <c r="C98" t="s">
        <v>2203</v>
      </c>
      <c r="D98" t="s">
        <v>2204</v>
      </c>
      <c r="E98" t="s">
        <v>1853</v>
      </c>
      <c r="F98">
        <v>70</v>
      </c>
      <c r="G98" t="s">
        <v>2205</v>
      </c>
    </row>
    <row r="99" spans="1:7" x14ac:dyDescent="0.25">
      <c r="A99" t="s">
        <v>2206</v>
      </c>
      <c r="B99" t="s">
        <v>1991</v>
      </c>
      <c r="C99" t="s">
        <v>2207</v>
      </c>
      <c r="D99" t="s">
        <v>2208</v>
      </c>
      <c r="E99" t="s">
        <v>1853</v>
      </c>
      <c r="F99">
        <v>0</v>
      </c>
      <c r="G99" t="s">
        <v>2209</v>
      </c>
    </row>
    <row r="100" spans="1:7" x14ac:dyDescent="0.25">
      <c r="A100" t="s">
        <v>2210</v>
      </c>
      <c r="B100" t="s">
        <v>1995</v>
      </c>
      <c r="C100" t="s">
        <v>2211</v>
      </c>
      <c r="D100" t="s">
        <v>2212</v>
      </c>
      <c r="E100" t="s">
        <v>1853</v>
      </c>
      <c r="F100">
        <v>262</v>
      </c>
      <c r="G100" t="s">
        <v>2213</v>
      </c>
    </row>
    <row r="101" spans="1:7" x14ac:dyDescent="0.25">
      <c r="A101" t="s">
        <v>2214</v>
      </c>
      <c r="B101" t="s">
        <v>1999</v>
      </c>
      <c r="C101" t="s">
        <v>2215</v>
      </c>
      <c r="D101" t="s">
        <v>2216</v>
      </c>
      <c r="E101" t="s">
        <v>1853</v>
      </c>
      <c r="F101">
        <v>310</v>
      </c>
      <c r="G101" t="s">
        <v>2217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16" customWidth="1"/>
    <col min="5" max="5" width="14" customWidth="1"/>
    <col min="6" max="6" width="16" customWidth="1"/>
    <col min="7" max="9" width="12" customWidth="1"/>
  </cols>
  <sheetData>
    <row r="1" ht="28" customHeight="1" spans="1:9" x14ac:dyDescent="0.25">
      <c r="A1" s="1" t="s">
        <v>2</v>
      </c>
      <c r="B1" s="1" t="s">
        <v>2218</v>
      </c>
      <c r="C1" s="1" t="s">
        <v>2219</v>
      </c>
      <c r="D1" s="1" t="s">
        <v>2220</v>
      </c>
      <c r="E1" s="1" t="s">
        <v>2221</v>
      </c>
      <c r="F1" s="1" t="s">
        <v>2222</v>
      </c>
      <c r="G1" s="1" t="s">
        <v>2223</v>
      </c>
      <c r="H1" s="1" t="s">
        <v>2224</v>
      </c>
      <c r="I1" s="1" t="s">
        <v>2225</v>
      </c>
    </row>
    <row r="2" spans="1:9" x14ac:dyDescent="0.25">
      <c r="A2" t="s">
        <v>50</v>
      </c>
      <c r="B2" t="s">
        <v>2226</v>
      </c>
      <c r="C2" t="s">
        <v>2227</v>
      </c>
      <c r="D2" t="s">
        <v>2228</v>
      </c>
      <c r="E2" t="s">
        <v>2229</v>
      </c>
      <c r="F2">
        <v>120</v>
      </c>
      <c r="G2">
        <v>40</v>
      </c>
      <c r="H2">
        <v>20</v>
      </c>
      <c r="I2">
        <v>50</v>
      </c>
    </row>
    <row r="3" spans="1:9" x14ac:dyDescent="0.25">
      <c r="A3" t="s">
        <v>18</v>
      </c>
      <c r="B3" t="s">
        <v>2230</v>
      </c>
      <c r="C3" t="s">
        <v>2231</v>
      </c>
      <c r="D3" t="s">
        <v>2232</v>
      </c>
      <c r="E3" t="s">
        <v>2233</v>
      </c>
      <c r="F3">
        <v>250</v>
      </c>
      <c r="G3">
        <v>50</v>
      </c>
      <c r="H3">
        <v>25</v>
      </c>
      <c r="I3">
        <v>60</v>
      </c>
    </row>
    <row r="4" spans="1:9" x14ac:dyDescent="0.25">
      <c r="A4" t="s">
        <v>28</v>
      </c>
      <c r="B4" t="s">
        <v>2234</v>
      </c>
      <c r="C4" t="s">
        <v>2235</v>
      </c>
      <c r="D4" t="s">
        <v>2236</v>
      </c>
      <c r="E4" t="s">
        <v>2237</v>
      </c>
      <c r="F4">
        <v>350</v>
      </c>
      <c r="G4">
        <v>60</v>
      </c>
      <c r="H4">
        <v>30</v>
      </c>
      <c r="I4">
        <v>70</v>
      </c>
    </row>
    <row r="5" spans="1:9" x14ac:dyDescent="0.25">
      <c r="A5" t="s">
        <v>35</v>
      </c>
      <c r="B5" t="s">
        <v>2238</v>
      </c>
      <c r="C5" t="s">
        <v>2239</v>
      </c>
      <c r="D5" t="s">
        <v>2228</v>
      </c>
      <c r="E5" t="s">
        <v>2240</v>
      </c>
      <c r="F5">
        <v>180</v>
      </c>
      <c r="G5">
        <v>35</v>
      </c>
      <c r="H5">
        <v>15</v>
      </c>
      <c r="I5">
        <v>45</v>
      </c>
    </row>
    <row r="6" spans="1:9" x14ac:dyDescent="0.25">
      <c r="A6" t="s">
        <v>43</v>
      </c>
      <c r="B6" t="s">
        <v>2241</v>
      </c>
      <c r="C6" t="s">
        <v>2242</v>
      </c>
      <c r="D6" t="s">
        <v>2243</v>
      </c>
      <c r="E6" t="s">
        <v>2244</v>
      </c>
      <c r="F6">
        <v>150</v>
      </c>
      <c r="G6">
        <v>30</v>
      </c>
      <c r="H6">
        <v>10</v>
      </c>
      <c r="I6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4" customWidth="1"/>
    <col min="4" max="4" width="28" customWidth="1"/>
    <col min="5" max="5" width="14" customWidth="1"/>
    <col min="6" max="6" width="15" customWidth="1"/>
    <col min="7" max="7" width="14" customWidth="1"/>
    <col min="8" max="8" width="16" customWidth="1"/>
    <col min="9" max="9" width="26" customWidth="1"/>
    <col min="10" max="10" width="30" customWidth="1"/>
    <col min="11" max="11" width="28" customWidth="1"/>
    <col min="12" max="12" width="24" customWidth="1"/>
    <col min="13" max="13" width="32" customWidth="1"/>
  </cols>
  <sheetData>
    <row r="1" ht="28" customHeight="1" spans="1:13" x14ac:dyDescent="0.25">
      <c r="A1" s="1" t="s">
        <v>2245</v>
      </c>
      <c r="B1" s="1" t="s">
        <v>0</v>
      </c>
      <c r="C1" s="1" t="s">
        <v>2246</v>
      </c>
      <c r="D1" s="1" t="s">
        <v>2247</v>
      </c>
      <c r="E1" s="1" t="s">
        <v>5</v>
      </c>
      <c r="F1" s="1" t="s">
        <v>8</v>
      </c>
      <c r="G1" s="1" t="s">
        <v>13</v>
      </c>
      <c r="H1" s="1" t="s">
        <v>14</v>
      </c>
      <c r="I1" s="1" t="s">
        <v>2248</v>
      </c>
      <c r="J1" s="1" t="s">
        <v>2249</v>
      </c>
      <c r="K1" s="1" t="s">
        <v>2250</v>
      </c>
      <c r="L1" s="1" t="s">
        <v>2251</v>
      </c>
      <c r="M1" s="1" t="s">
        <v>2252</v>
      </c>
    </row>
    <row r="2" spans="1:13" x14ac:dyDescent="0.25">
      <c r="A2" t="s">
        <v>2253</v>
      </c>
      <c r="B2">
        <f>Bookings_Data!A2</f>
      </c>
      <c r="C2">
        <f>XLOOKUP(Bookings_Data!B2, Customers!A:A, Customers!B:B, "Guest User")</f>
      </c>
      <c r="D2">
        <f>VLOOKUP(Bookings_Data!C2, Locations!A:C, 3, FALSE)</f>
      </c>
      <c r="E2">
        <f>Bookings_Data!F2</f>
      </c>
      <c r="F2">
        <f>Bookings_Data!I2</f>
      </c>
      <c r="G2">
        <f>Bookings_Data!N2</f>
      </c>
      <c r="H2">
        <f>Bookings_Data!O2</f>
      </c>
      <c r="I2">
        <f>IF(Bookings_Data!O2="COMPLETED", "Settled &amp; Verified", "Unsettled / Pending")</f>
      </c>
      <c r="J2">
        <f>IF(Bookings_Data!N2&gt;250, "Tier 1 (Premium / Surge)", IF(Bookings_Data!N2&gt;100, "Tier 2 (Standard)", "Tier 3 (Short-Stay)"))</f>
      </c>
      <c r="K2">
        <f>IF(AND(Bookings_Data!N2&gt;150, OR(Bookings_Data!F2="car", Bookings_Data!F2="ev")), "★ High-Yield Asset", "Standard Dwell")</f>
      </c>
      <c r="L2">
        <f>IFERROR(VLOOKUP(Bookings_Data!C2, Locations!A:C, 3, FALSE), "Location Not Found")</f>
      </c>
      <c r="M2">
        <f>IF(OR(Bookings_Data!I2&gt;24, Bookings_Data!N2&gt;1500), "🚨 STATISTICAL OUTLIER", "NORMAL")</f>
      </c>
    </row>
    <row r="3" spans="1:13" x14ac:dyDescent="0.25">
      <c r="A3" t="s">
        <v>2254</v>
      </c>
      <c r="B3">
        <f>Bookings_Data!A3</f>
      </c>
      <c r="C3">
        <f>XLOOKUP(Bookings_Data!B3, Customers!A:A, Customers!B:B, "Guest User")</f>
      </c>
      <c r="D3">
        <f>VLOOKUP(Bookings_Data!C3, Locations!A:C, 3, FALSE)</f>
      </c>
      <c r="E3">
        <f>Bookings_Data!F3</f>
      </c>
      <c r="F3">
        <f>Bookings_Data!I3</f>
      </c>
      <c r="G3">
        <f>Bookings_Data!N3</f>
      </c>
      <c r="H3">
        <f>Bookings_Data!O3</f>
      </c>
      <c r="I3">
        <f>IF(Bookings_Data!O3="COMPLETED", "Settled &amp; Verified", "Unsettled / Pending")</f>
      </c>
      <c r="J3">
        <f>IF(Bookings_Data!N3&gt;250, "Tier 1 (Premium / Surge)", IF(Bookings_Data!N3&gt;100, "Tier 2 (Standard)", "Tier 3 (Short-Stay)"))</f>
      </c>
      <c r="K3">
        <f>IF(AND(Bookings_Data!N3&gt;150, OR(Bookings_Data!F3="car", Bookings_Data!F3="ev")), "★ High-Yield Asset", "Standard Dwell")</f>
      </c>
      <c r="L3">
        <f>IFERROR(VLOOKUP(Bookings_Data!C3, Locations!A:C, 3, FALSE), "Location Not Found")</f>
      </c>
      <c r="M3">
        <f>IF(OR(Bookings_Data!I3&gt;24, Bookings_Data!N3&gt;1500), "🚨 STATISTICAL OUTLIER", "NORMAL")</f>
      </c>
    </row>
    <row r="4" spans="1:13" x14ac:dyDescent="0.25">
      <c r="A4" t="s">
        <v>2255</v>
      </c>
      <c r="B4">
        <f>Bookings_Data!A4</f>
      </c>
      <c r="C4">
        <f>XLOOKUP(Bookings_Data!B4, Customers!A:A, Customers!B:B, "Guest User")</f>
      </c>
      <c r="D4">
        <f>VLOOKUP(Bookings_Data!C4, Locations!A:C, 3, FALSE)</f>
      </c>
      <c r="E4">
        <f>Bookings_Data!F4</f>
      </c>
      <c r="F4">
        <f>Bookings_Data!I4</f>
      </c>
      <c r="G4">
        <f>Bookings_Data!N4</f>
      </c>
      <c r="H4">
        <f>Bookings_Data!O4</f>
      </c>
      <c r="I4">
        <f>IF(Bookings_Data!O4="COMPLETED", "Settled &amp; Verified", "Unsettled / Pending")</f>
      </c>
      <c r="J4">
        <f>IF(Bookings_Data!N4&gt;250, "Tier 1 (Premium / Surge)", IF(Bookings_Data!N4&gt;100, "Tier 2 (Standard)", "Tier 3 (Short-Stay)"))</f>
      </c>
      <c r="K4">
        <f>IF(AND(Bookings_Data!N4&gt;150, OR(Bookings_Data!F4="car", Bookings_Data!F4="ev")), "★ High-Yield Asset", "Standard Dwell")</f>
      </c>
      <c r="L4">
        <f>IFERROR(VLOOKUP(Bookings_Data!C4, Locations!A:C, 3, FALSE), "Location Not Found")</f>
      </c>
      <c r="M4">
        <f>IF(OR(Bookings_Data!I4&gt;24, Bookings_Data!N4&gt;1500), "🚨 STATISTICAL OUTLIER", "NORMAL")</f>
      </c>
    </row>
    <row r="5" spans="1:13" x14ac:dyDescent="0.25">
      <c r="A5" t="s">
        <v>2256</v>
      </c>
      <c r="B5">
        <f>Bookings_Data!A5</f>
      </c>
      <c r="C5">
        <f>XLOOKUP(Bookings_Data!B5, Customers!A:A, Customers!B:B, "Guest User")</f>
      </c>
      <c r="D5">
        <f>VLOOKUP(Bookings_Data!C5, Locations!A:C, 3, FALSE)</f>
      </c>
      <c r="E5">
        <f>Bookings_Data!F5</f>
      </c>
      <c r="F5">
        <f>Bookings_Data!I5</f>
      </c>
      <c r="G5">
        <f>Bookings_Data!N5</f>
      </c>
      <c r="H5">
        <f>Bookings_Data!O5</f>
      </c>
      <c r="I5">
        <f>IF(Bookings_Data!O5="COMPLETED", "Settled &amp; Verified", "Unsettled / Pending")</f>
      </c>
      <c r="J5">
        <f>IF(Bookings_Data!N5&gt;250, "Tier 1 (Premium / Surge)", IF(Bookings_Data!N5&gt;100, "Tier 2 (Standard)", "Tier 3 (Short-Stay)"))</f>
      </c>
      <c r="K5">
        <f>IF(AND(Bookings_Data!N5&gt;150, OR(Bookings_Data!F5="car", Bookings_Data!F5="ev")), "★ High-Yield Asset", "Standard Dwell")</f>
      </c>
      <c r="L5">
        <f>IFERROR(VLOOKUP(Bookings_Data!C5, Locations!A:C, 3, FALSE), "Location Not Found")</f>
      </c>
      <c r="M5">
        <f>IF(OR(Bookings_Data!I5&gt;24, Bookings_Data!N5&gt;1500), "🚨 STATISTICAL OUTLIER", "NORMAL")</f>
      </c>
    </row>
    <row r="6" spans="1:13" x14ac:dyDescent="0.25">
      <c r="A6" t="s">
        <v>2257</v>
      </c>
      <c r="B6">
        <f>Bookings_Data!A6</f>
      </c>
      <c r="C6">
        <f>XLOOKUP(Bookings_Data!B6, Customers!A:A, Customers!B:B, "Guest User")</f>
      </c>
      <c r="D6">
        <f>VLOOKUP(Bookings_Data!C6, Locations!A:C, 3, FALSE)</f>
      </c>
      <c r="E6">
        <f>Bookings_Data!F6</f>
      </c>
      <c r="F6">
        <f>Bookings_Data!I6</f>
      </c>
      <c r="G6">
        <f>Bookings_Data!N6</f>
      </c>
      <c r="H6">
        <f>Bookings_Data!O6</f>
      </c>
      <c r="I6">
        <f>IF(Bookings_Data!O6="COMPLETED", "Settled &amp; Verified", "Unsettled / Pending")</f>
      </c>
      <c r="J6">
        <f>IF(Bookings_Data!N6&gt;250, "Tier 1 (Premium / Surge)", IF(Bookings_Data!N6&gt;100, "Tier 2 (Standard)", "Tier 3 (Short-Stay)"))</f>
      </c>
      <c r="K6">
        <f>IF(AND(Bookings_Data!N6&gt;150, OR(Bookings_Data!F6="car", Bookings_Data!F6="ev")), "★ High-Yield Asset", "Standard Dwell")</f>
      </c>
      <c r="L6">
        <f>IFERROR(VLOOKUP(Bookings_Data!C6, Locations!A:C, 3, FALSE), "Location Not Found")</f>
      </c>
      <c r="M6">
        <f>IF(OR(Bookings_Data!I6&gt;24, Bookings_Data!N6&gt;1500), "🚨 STATISTICAL OUTLIER", "NORMAL")</f>
      </c>
    </row>
    <row r="7" spans="1:13" x14ac:dyDescent="0.25">
      <c r="A7" t="s">
        <v>2258</v>
      </c>
      <c r="B7">
        <f>Bookings_Data!A7</f>
      </c>
      <c r="C7">
        <f>XLOOKUP(Bookings_Data!B7, Customers!A:A, Customers!B:B, "Guest User")</f>
      </c>
      <c r="D7">
        <f>VLOOKUP(Bookings_Data!C7, Locations!A:C, 3, FALSE)</f>
      </c>
      <c r="E7">
        <f>Bookings_Data!F7</f>
      </c>
      <c r="F7">
        <f>Bookings_Data!I7</f>
      </c>
      <c r="G7">
        <f>Bookings_Data!N7</f>
      </c>
      <c r="H7">
        <f>Bookings_Data!O7</f>
      </c>
      <c r="I7">
        <f>IF(Bookings_Data!O7="COMPLETED", "Settled &amp; Verified", "Unsettled / Pending")</f>
      </c>
      <c r="J7">
        <f>IF(Bookings_Data!N7&gt;250, "Tier 1 (Premium / Surge)", IF(Bookings_Data!N7&gt;100, "Tier 2 (Standard)", "Tier 3 (Short-Stay)"))</f>
      </c>
      <c r="K7">
        <f>IF(AND(Bookings_Data!N7&gt;150, OR(Bookings_Data!F7="car", Bookings_Data!F7="ev")), "★ High-Yield Asset", "Standard Dwell")</f>
      </c>
      <c r="L7">
        <f>IFERROR(VLOOKUP(Bookings_Data!C7, Locations!A:C, 3, FALSE), "Location Not Found")</f>
      </c>
      <c r="M7">
        <f>IF(OR(Bookings_Data!I7&gt;24, Bookings_Data!N7&gt;1500), "🚨 STATISTICAL OUTLIER", "NORMAL")</f>
      </c>
    </row>
    <row r="8" spans="1:13" x14ac:dyDescent="0.25">
      <c r="A8" t="s">
        <v>2259</v>
      </c>
      <c r="B8">
        <f>Bookings_Data!A8</f>
      </c>
      <c r="C8">
        <f>XLOOKUP(Bookings_Data!B8, Customers!A:A, Customers!B:B, "Guest User")</f>
      </c>
      <c r="D8">
        <f>VLOOKUP(Bookings_Data!C8, Locations!A:C, 3, FALSE)</f>
      </c>
      <c r="E8">
        <f>Bookings_Data!F8</f>
      </c>
      <c r="F8">
        <f>Bookings_Data!I8</f>
      </c>
      <c r="G8">
        <f>Bookings_Data!N8</f>
      </c>
      <c r="H8">
        <f>Bookings_Data!O8</f>
      </c>
      <c r="I8">
        <f>IF(Bookings_Data!O8="COMPLETED", "Settled &amp; Verified", "Unsettled / Pending")</f>
      </c>
      <c r="J8">
        <f>IF(Bookings_Data!N8&gt;250, "Tier 1 (Premium / Surge)", IF(Bookings_Data!N8&gt;100, "Tier 2 (Standard)", "Tier 3 (Short-Stay)"))</f>
      </c>
      <c r="K8">
        <f>IF(AND(Bookings_Data!N8&gt;150, OR(Bookings_Data!F8="car", Bookings_Data!F8="ev")), "★ High-Yield Asset", "Standard Dwell")</f>
      </c>
      <c r="L8">
        <f>IFERROR(VLOOKUP(Bookings_Data!C8, Locations!A:C, 3, FALSE), "Location Not Found")</f>
      </c>
      <c r="M8">
        <f>IF(OR(Bookings_Data!I8&gt;24, Bookings_Data!N8&gt;1500), "🚨 STATISTICAL OUTLIER", "NORMAL")</f>
      </c>
    </row>
    <row r="9" spans="1:13" x14ac:dyDescent="0.25">
      <c r="A9" t="s">
        <v>2260</v>
      </c>
      <c r="B9">
        <f>Bookings_Data!A9</f>
      </c>
      <c r="C9">
        <f>XLOOKUP(Bookings_Data!B9, Customers!A:A, Customers!B:B, "Guest User")</f>
      </c>
      <c r="D9">
        <f>VLOOKUP(Bookings_Data!C9, Locations!A:C, 3, FALSE)</f>
      </c>
      <c r="E9">
        <f>Bookings_Data!F9</f>
      </c>
      <c r="F9">
        <f>Bookings_Data!I9</f>
      </c>
      <c r="G9">
        <f>Bookings_Data!N9</f>
      </c>
      <c r="H9">
        <f>Bookings_Data!O9</f>
      </c>
      <c r="I9">
        <f>IF(Bookings_Data!O9="COMPLETED", "Settled &amp; Verified", "Unsettled / Pending")</f>
      </c>
      <c r="J9">
        <f>IF(Bookings_Data!N9&gt;250, "Tier 1 (Premium / Surge)", IF(Bookings_Data!N9&gt;100, "Tier 2 (Standard)", "Tier 3 (Short-Stay)"))</f>
      </c>
      <c r="K9">
        <f>IF(AND(Bookings_Data!N9&gt;150, OR(Bookings_Data!F9="car", Bookings_Data!F9="ev")), "★ High-Yield Asset", "Standard Dwell")</f>
      </c>
      <c r="L9">
        <f>IFERROR(VLOOKUP(Bookings_Data!C9, Locations!A:C, 3, FALSE), "Location Not Found")</f>
      </c>
      <c r="M9">
        <f>IF(OR(Bookings_Data!I9&gt;24, Bookings_Data!N9&gt;1500), "🚨 STATISTICAL OUTLIER", "NORMAL")</f>
      </c>
    </row>
    <row r="10" spans="1:13" x14ac:dyDescent="0.25">
      <c r="A10" t="s">
        <v>2261</v>
      </c>
      <c r="B10">
        <f>Bookings_Data!A10</f>
      </c>
      <c r="C10">
        <f>XLOOKUP(Bookings_Data!B10, Customers!A:A, Customers!B:B, "Guest User")</f>
      </c>
      <c r="D10">
        <f>VLOOKUP(Bookings_Data!C10, Locations!A:C, 3, FALSE)</f>
      </c>
      <c r="E10">
        <f>Bookings_Data!F10</f>
      </c>
      <c r="F10">
        <f>Bookings_Data!I10</f>
      </c>
      <c r="G10">
        <f>Bookings_Data!N10</f>
      </c>
      <c r="H10">
        <f>Bookings_Data!O10</f>
      </c>
      <c r="I10">
        <f>IF(Bookings_Data!O10="COMPLETED", "Settled &amp; Verified", "Unsettled / Pending")</f>
      </c>
      <c r="J10">
        <f>IF(Bookings_Data!N10&gt;250, "Tier 1 (Premium / Surge)", IF(Bookings_Data!N10&gt;100, "Tier 2 (Standard)", "Tier 3 (Short-Stay)"))</f>
      </c>
      <c r="K10">
        <f>IF(AND(Bookings_Data!N10&gt;150, OR(Bookings_Data!F10="car", Bookings_Data!F10="ev")), "★ High-Yield Asset", "Standard Dwell")</f>
      </c>
      <c r="L10">
        <f>IFERROR(VLOOKUP(Bookings_Data!C10, Locations!A:C, 3, FALSE), "Location Not Found")</f>
      </c>
      <c r="M10">
        <f>IF(OR(Bookings_Data!I10&gt;24, Bookings_Data!N10&gt;1500), "🚨 STATISTICAL OUTLIER", "NORMAL")</f>
      </c>
    </row>
    <row r="11" spans="1:13" x14ac:dyDescent="0.25">
      <c r="A11" t="s">
        <v>2262</v>
      </c>
      <c r="B11">
        <f>Bookings_Data!A11</f>
      </c>
      <c r="C11">
        <f>XLOOKUP(Bookings_Data!B11, Customers!A:A, Customers!B:B, "Guest User")</f>
      </c>
      <c r="D11">
        <f>VLOOKUP(Bookings_Data!C11, Locations!A:C, 3, FALSE)</f>
      </c>
      <c r="E11">
        <f>Bookings_Data!F11</f>
      </c>
      <c r="F11">
        <f>Bookings_Data!I11</f>
      </c>
      <c r="G11">
        <f>Bookings_Data!N11</f>
      </c>
      <c r="H11">
        <f>Bookings_Data!O11</f>
      </c>
      <c r="I11">
        <f>IF(Bookings_Data!O11="COMPLETED", "Settled &amp; Verified", "Unsettled / Pending")</f>
      </c>
      <c r="J11">
        <f>IF(Bookings_Data!N11&gt;250, "Tier 1 (Premium / Surge)", IF(Bookings_Data!N11&gt;100, "Tier 2 (Standard)", "Tier 3 (Short-Stay)"))</f>
      </c>
      <c r="K11">
        <f>IF(AND(Bookings_Data!N11&gt;150, OR(Bookings_Data!F11="car", Bookings_Data!F11="ev")), "★ High-Yield Asset", "Standard Dwell")</f>
      </c>
      <c r="L11">
        <f>IFERROR(VLOOKUP(Bookings_Data!C11, Locations!A:C, 3, FALSE), "Location Not Found")</f>
      </c>
      <c r="M11">
        <f>IF(OR(Bookings_Data!I11&gt;24, Bookings_Data!N11&gt;1500), "🚨 STATISTICAL OUTLIER", "NORMAL")</f>
      </c>
    </row>
    <row r="12" spans="1:13" x14ac:dyDescent="0.25">
      <c r="A12" t="s">
        <v>2263</v>
      </c>
      <c r="B12">
        <f>Bookings_Data!A12</f>
      </c>
      <c r="C12">
        <f>XLOOKUP(Bookings_Data!B12, Customers!A:A, Customers!B:B, "Guest User")</f>
      </c>
      <c r="D12">
        <f>VLOOKUP(Bookings_Data!C12, Locations!A:C, 3, FALSE)</f>
      </c>
      <c r="E12">
        <f>Bookings_Data!F12</f>
      </c>
      <c r="F12">
        <f>Bookings_Data!I12</f>
      </c>
      <c r="G12">
        <f>Bookings_Data!N12</f>
      </c>
      <c r="H12">
        <f>Bookings_Data!O12</f>
      </c>
      <c r="I12">
        <f>IF(Bookings_Data!O12="COMPLETED", "Settled &amp; Verified", "Unsettled / Pending")</f>
      </c>
      <c r="J12">
        <f>IF(Bookings_Data!N12&gt;250, "Tier 1 (Premium / Surge)", IF(Bookings_Data!N12&gt;100, "Tier 2 (Standard)", "Tier 3 (Short-Stay)"))</f>
      </c>
      <c r="K12">
        <f>IF(AND(Bookings_Data!N12&gt;150, OR(Bookings_Data!F12="car", Bookings_Data!F12="ev")), "★ High-Yield Asset", "Standard Dwell")</f>
      </c>
      <c r="L12">
        <f>IFERROR(VLOOKUP(Bookings_Data!C12, Locations!A:C, 3, FALSE), "Location Not Found")</f>
      </c>
      <c r="M12">
        <f>IF(OR(Bookings_Data!I12&gt;24, Bookings_Data!N12&gt;1500), "🚨 STATISTICAL OUTLIER", "NORMAL")</f>
      </c>
    </row>
    <row r="13" spans="1:13" x14ac:dyDescent="0.25">
      <c r="A13" t="s">
        <v>2264</v>
      </c>
      <c r="B13">
        <f>Bookings_Data!A13</f>
      </c>
      <c r="C13">
        <f>XLOOKUP(Bookings_Data!B13, Customers!A:A, Customers!B:B, "Guest User")</f>
      </c>
      <c r="D13">
        <f>VLOOKUP(Bookings_Data!C13, Locations!A:C, 3, FALSE)</f>
      </c>
      <c r="E13">
        <f>Bookings_Data!F13</f>
      </c>
      <c r="F13">
        <f>Bookings_Data!I13</f>
      </c>
      <c r="G13">
        <f>Bookings_Data!N13</f>
      </c>
      <c r="H13">
        <f>Bookings_Data!O13</f>
      </c>
      <c r="I13">
        <f>IF(Bookings_Data!O13="COMPLETED", "Settled &amp; Verified", "Unsettled / Pending")</f>
      </c>
      <c r="J13">
        <f>IF(Bookings_Data!N13&gt;250, "Tier 1 (Premium / Surge)", IF(Bookings_Data!N13&gt;100, "Tier 2 (Standard)", "Tier 3 (Short-Stay)"))</f>
      </c>
      <c r="K13">
        <f>IF(AND(Bookings_Data!N13&gt;150, OR(Bookings_Data!F13="car", Bookings_Data!F13="ev")), "★ High-Yield Asset", "Standard Dwell")</f>
      </c>
      <c r="L13">
        <f>IFERROR(VLOOKUP(Bookings_Data!C13, Locations!A:C, 3, FALSE), "Location Not Found")</f>
      </c>
      <c r="M13">
        <f>IF(OR(Bookings_Data!I13&gt;24, Bookings_Data!N13&gt;1500), "🚨 STATISTICAL OUTLIER", "NORMAL")</f>
      </c>
    </row>
    <row r="14" spans="1:13" x14ac:dyDescent="0.25">
      <c r="A14" t="s">
        <v>2265</v>
      </c>
      <c r="B14">
        <f>Bookings_Data!A14</f>
      </c>
      <c r="C14">
        <f>XLOOKUP(Bookings_Data!B14, Customers!A:A, Customers!B:B, "Guest User")</f>
      </c>
      <c r="D14">
        <f>VLOOKUP(Bookings_Data!C14, Locations!A:C, 3, FALSE)</f>
      </c>
      <c r="E14">
        <f>Bookings_Data!F14</f>
      </c>
      <c r="F14">
        <f>Bookings_Data!I14</f>
      </c>
      <c r="G14">
        <f>Bookings_Data!N14</f>
      </c>
      <c r="H14">
        <f>Bookings_Data!O14</f>
      </c>
      <c r="I14">
        <f>IF(Bookings_Data!O14="COMPLETED", "Settled &amp; Verified", "Unsettled / Pending")</f>
      </c>
      <c r="J14">
        <f>IF(Bookings_Data!N14&gt;250, "Tier 1 (Premium / Surge)", IF(Bookings_Data!N14&gt;100, "Tier 2 (Standard)", "Tier 3 (Short-Stay)"))</f>
      </c>
      <c r="K14">
        <f>IF(AND(Bookings_Data!N14&gt;150, OR(Bookings_Data!F14="car", Bookings_Data!F14="ev")), "★ High-Yield Asset", "Standard Dwell")</f>
      </c>
      <c r="L14">
        <f>IFERROR(VLOOKUP(Bookings_Data!C14, Locations!A:C, 3, FALSE), "Location Not Found")</f>
      </c>
      <c r="M14">
        <f>IF(OR(Bookings_Data!I14&gt;24, Bookings_Data!N14&gt;1500), "🚨 STATISTICAL OUTLIER", "NORMAL")</f>
      </c>
    </row>
    <row r="15" spans="1:13" x14ac:dyDescent="0.25">
      <c r="A15" t="s">
        <v>2266</v>
      </c>
      <c r="B15">
        <f>Bookings_Data!A15</f>
      </c>
      <c r="C15">
        <f>XLOOKUP(Bookings_Data!B15, Customers!A:A, Customers!B:B, "Guest User")</f>
      </c>
      <c r="D15">
        <f>VLOOKUP(Bookings_Data!C15, Locations!A:C, 3, FALSE)</f>
      </c>
      <c r="E15">
        <f>Bookings_Data!F15</f>
      </c>
      <c r="F15">
        <f>Bookings_Data!I15</f>
      </c>
      <c r="G15">
        <f>Bookings_Data!N15</f>
      </c>
      <c r="H15">
        <f>Bookings_Data!O15</f>
      </c>
      <c r="I15">
        <f>IF(Bookings_Data!O15="COMPLETED", "Settled &amp; Verified", "Unsettled / Pending")</f>
      </c>
      <c r="J15">
        <f>IF(Bookings_Data!N15&gt;250, "Tier 1 (Premium / Surge)", IF(Bookings_Data!N15&gt;100, "Tier 2 (Standard)", "Tier 3 (Short-Stay)"))</f>
      </c>
      <c r="K15">
        <f>IF(AND(Bookings_Data!N15&gt;150, OR(Bookings_Data!F15="car", Bookings_Data!F15="ev")), "★ High-Yield Asset", "Standard Dwell")</f>
      </c>
      <c r="L15">
        <f>IFERROR(VLOOKUP(Bookings_Data!C15, Locations!A:C, 3, FALSE), "Location Not Found")</f>
      </c>
      <c r="M15">
        <f>IF(OR(Bookings_Data!I15&gt;24, Bookings_Data!N15&gt;1500), "🚨 STATISTICAL OUTLIER", "NORMAL")</f>
      </c>
    </row>
    <row r="16" spans="1:13" x14ac:dyDescent="0.25">
      <c r="A16" t="s">
        <v>2267</v>
      </c>
      <c r="B16">
        <f>Bookings_Data!A16</f>
      </c>
      <c r="C16">
        <f>XLOOKUP(Bookings_Data!B16, Customers!A:A, Customers!B:B, "Guest User")</f>
      </c>
      <c r="D16">
        <f>VLOOKUP(Bookings_Data!C16, Locations!A:C, 3, FALSE)</f>
      </c>
      <c r="E16">
        <f>Bookings_Data!F16</f>
      </c>
      <c r="F16">
        <f>Bookings_Data!I16</f>
      </c>
      <c r="G16">
        <f>Bookings_Data!N16</f>
      </c>
      <c r="H16">
        <f>Bookings_Data!O16</f>
      </c>
      <c r="I16">
        <f>IF(Bookings_Data!O16="COMPLETED", "Settled &amp; Verified", "Unsettled / Pending")</f>
      </c>
      <c r="J16">
        <f>IF(Bookings_Data!N16&gt;250, "Tier 1 (Premium / Surge)", IF(Bookings_Data!N16&gt;100, "Tier 2 (Standard)", "Tier 3 (Short-Stay)"))</f>
      </c>
      <c r="K16">
        <f>IF(AND(Bookings_Data!N16&gt;150, OR(Bookings_Data!F16="car", Bookings_Data!F16="ev")), "★ High-Yield Asset", "Standard Dwell")</f>
      </c>
      <c r="L16">
        <f>IFERROR(VLOOKUP(Bookings_Data!C16, Locations!A:C, 3, FALSE), "Location Not Found")</f>
      </c>
      <c r="M16">
        <f>IF(OR(Bookings_Data!I16&gt;24, Bookings_Data!N16&gt;1500), "🚨 STATISTICAL OUTLIER", "NORMAL")</f>
      </c>
    </row>
    <row r="17" spans="1:13" x14ac:dyDescent="0.25">
      <c r="A17" t="s">
        <v>2268</v>
      </c>
      <c r="B17">
        <f>Bookings_Data!A17</f>
      </c>
      <c r="C17">
        <f>XLOOKUP(Bookings_Data!B17, Customers!A:A, Customers!B:B, "Guest User")</f>
      </c>
      <c r="D17">
        <f>VLOOKUP(Bookings_Data!C17, Locations!A:C, 3, FALSE)</f>
      </c>
      <c r="E17">
        <f>Bookings_Data!F17</f>
      </c>
      <c r="F17">
        <f>Bookings_Data!I17</f>
      </c>
      <c r="G17">
        <f>Bookings_Data!N17</f>
      </c>
      <c r="H17">
        <f>Bookings_Data!O17</f>
      </c>
      <c r="I17">
        <f>IF(Bookings_Data!O17="COMPLETED", "Settled &amp; Verified", "Unsettled / Pending")</f>
      </c>
      <c r="J17">
        <f>IF(Bookings_Data!N17&gt;250, "Tier 1 (Premium / Surge)", IF(Bookings_Data!N17&gt;100, "Tier 2 (Standard)", "Tier 3 (Short-Stay)"))</f>
      </c>
      <c r="K17">
        <f>IF(AND(Bookings_Data!N17&gt;150, OR(Bookings_Data!F17="car", Bookings_Data!F17="ev")), "★ High-Yield Asset", "Standard Dwell")</f>
      </c>
      <c r="L17">
        <f>IFERROR(VLOOKUP(Bookings_Data!C17, Locations!A:C, 3, FALSE), "Location Not Found")</f>
      </c>
      <c r="M17">
        <f>IF(OR(Bookings_Data!I17&gt;24, Bookings_Data!N17&gt;1500), "🚨 STATISTICAL OUTLIER", "NORMAL")</f>
      </c>
    </row>
    <row r="18" spans="1:13" x14ac:dyDescent="0.25">
      <c r="A18" t="s">
        <v>2269</v>
      </c>
      <c r="B18">
        <f>Bookings_Data!A18</f>
      </c>
      <c r="C18">
        <f>XLOOKUP(Bookings_Data!B18, Customers!A:A, Customers!B:B, "Guest User")</f>
      </c>
      <c r="D18">
        <f>VLOOKUP(Bookings_Data!C18, Locations!A:C, 3, FALSE)</f>
      </c>
      <c r="E18">
        <f>Bookings_Data!F18</f>
      </c>
      <c r="F18">
        <f>Bookings_Data!I18</f>
      </c>
      <c r="G18">
        <f>Bookings_Data!N18</f>
      </c>
      <c r="H18">
        <f>Bookings_Data!O18</f>
      </c>
      <c r="I18">
        <f>IF(Bookings_Data!O18="COMPLETED", "Settled &amp; Verified", "Unsettled / Pending")</f>
      </c>
      <c r="J18">
        <f>IF(Bookings_Data!N18&gt;250, "Tier 1 (Premium / Surge)", IF(Bookings_Data!N18&gt;100, "Tier 2 (Standard)", "Tier 3 (Short-Stay)"))</f>
      </c>
      <c r="K18">
        <f>IF(AND(Bookings_Data!N18&gt;150, OR(Bookings_Data!F18="car", Bookings_Data!F18="ev")), "★ High-Yield Asset", "Standard Dwell")</f>
      </c>
      <c r="L18">
        <f>IFERROR(VLOOKUP(Bookings_Data!C18, Locations!A:C, 3, FALSE), "Location Not Found")</f>
      </c>
      <c r="M18">
        <f>IF(OR(Bookings_Data!I18&gt;24, Bookings_Data!N18&gt;1500), "🚨 STATISTICAL OUTLIER", "NORMAL")</f>
      </c>
    </row>
    <row r="19" spans="1:13" x14ac:dyDescent="0.25">
      <c r="A19" t="s">
        <v>2270</v>
      </c>
      <c r="B19">
        <f>Bookings_Data!A19</f>
      </c>
      <c r="C19">
        <f>XLOOKUP(Bookings_Data!B19, Customers!A:A, Customers!B:B, "Guest User")</f>
      </c>
      <c r="D19">
        <f>VLOOKUP(Bookings_Data!C19, Locations!A:C, 3, FALSE)</f>
      </c>
      <c r="E19">
        <f>Bookings_Data!F19</f>
      </c>
      <c r="F19">
        <f>Bookings_Data!I19</f>
      </c>
      <c r="G19">
        <f>Bookings_Data!N19</f>
      </c>
      <c r="H19">
        <f>Bookings_Data!O19</f>
      </c>
      <c r="I19">
        <f>IF(Bookings_Data!O19="COMPLETED", "Settled &amp; Verified", "Unsettled / Pending")</f>
      </c>
      <c r="J19">
        <f>IF(Bookings_Data!N19&gt;250, "Tier 1 (Premium / Surge)", IF(Bookings_Data!N19&gt;100, "Tier 2 (Standard)", "Tier 3 (Short-Stay)"))</f>
      </c>
      <c r="K19">
        <f>IF(AND(Bookings_Data!N19&gt;150, OR(Bookings_Data!F19="car", Bookings_Data!F19="ev")), "★ High-Yield Asset", "Standard Dwell")</f>
      </c>
      <c r="L19">
        <f>IFERROR(VLOOKUP(Bookings_Data!C19, Locations!A:C, 3, FALSE), "Location Not Found")</f>
      </c>
      <c r="M19">
        <f>IF(OR(Bookings_Data!I19&gt;24, Bookings_Data!N19&gt;1500), "🚨 STATISTICAL OUTLIER", "NORMAL")</f>
      </c>
    </row>
    <row r="20" spans="1:13" x14ac:dyDescent="0.25">
      <c r="A20" t="s">
        <v>2271</v>
      </c>
      <c r="B20">
        <f>Bookings_Data!A20</f>
      </c>
      <c r="C20">
        <f>XLOOKUP(Bookings_Data!B20, Customers!A:A, Customers!B:B, "Guest User")</f>
      </c>
      <c r="D20">
        <f>VLOOKUP(Bookings_Data!C20, Locations!A:C, 3, FALSE)</f>
      </c>
      <c r="E20">
        <f>Bookings_Data!F20</f>
      </c>
      <c r="F20">
        <f>Bookings_Data!I20</f>
      </c>
      <c r="G20">
        <f>Bookings_Data!N20</f>
      </c>
      <c r="H20">
        <f>Bookings_Data!O20</f>
      </c>
      <c r="I20">
        <f>IF(Bookings_Data!O20="COMPLETED", "Settled &amp; Verified", "Unsettled / Pending")</f>
      </c>
      <c r="J20">
        <f>IF(Bookings_Data!N20&gt;250, "Tier 1 (Premium / Surge)", IF(Bookings_Data!N20&gt;100, "Tier 2 (Standard)", "Tier 3 (Short-Stay)"))</f>
      </c>
      <c r="K20">
        <f>IF(AND(Bookings_Data!N20&gt;150, OR(Bookings_Data!F20="car", Bookings_Data!F20="ev")), "★ High-Yield Asset", "Standard Dwell")</f>
      </c>
      <c r="L20">
        <f>IFERROR(VLOOKUP(Bookings_Data!C20, Locations!A:C, 3, FALSE), "Location Not Found")</f>
      </c>
      <c r="M20">
        <f>IF(OR(Bookings_Data!I20&gt;24, Bookings_Data!N20&gt;1500), "🚨 STATISTICAL OUTLIER", "NORMAL")</f>
      </c>
    </row>
    <row r="21" spans="1:13" x14ac:dyDescent="0.25">
      <c r="A21" t="s">
        <v>2272</v>
      </c>
      <c r="B21">
        <f>Bookings_Data!A21</f>
      </c>
      <c r="C21">
        <f>XLOOKUP(Bookings_Data!B21, Customers!A:A, Customers!B:B, "Guest User")</f>
      </c>
      <c r="D21">
        <f>VLOOKUP(Bookings_Data!C21, Locations!A:C, 3, FALSE)</f>
      </c>
      <c r="E21">
        <f>Bookings_Data!F21</f>
      </c>
      <c r="F21">
        <f>Bookings_Data!I21</f>
      </c>
      <c r="G21">
        <f>Bookings_Data!N21</f>
      </c>
      <c r="H21">
        <f>Bookings_Data!O21</f>
      </c>
      <c r="I21">
        <f>IF(Bookings_Data!O21="COMPLETED", "Settled &amp; Verified", "Unsettled / Pending")</f>
      </c>
      <c r="J21">
        <f>IF(Bookings_Data!N21&gt;250, "Tier 1 (Premium / Surge)", IF(Bookings_Data!N21&gt;100, "Tier 2 (Standard)", "Tier 3 (Short-Stay)"))</f>
      </c>
      <c r="K21">
        <f>IF(AND(Bookings_Data!N21&gt;150, OR(Bookings_Data!F21="car", Bookings_Data!F21="ev")), "★ High-Yield Asset", "Standard Dwell")</f>
      </c>
      <c r="L21">
        <f>IFERROR(VLOOKUP(Bookings_Data!C21, Locations!A:C, 3, FALSE), "Location Not Found")</f>
      </c>
      <c r="M21">
        <f>IF(OR(Bookings_Data!I21&gt;24, Bookings_Data!N21&gt;1500), "🚨 STATISTICAL OUTLIER", "NORMAL")</f>
      </c>
    </row>
    <row r="22" spans="1:13" x14ac:dyDescent="0.25">
      <c r="A22" t="s">
        <v>2273</v>
      </c>
      <c r="B22">
        <f>Bookings_Data!A22</f>
      </c>
      <c r="C22">
        <f>XLOOKUP(Bookings_Data!B22, Customers!A:A, Customers!B:B, "Guest User")</f>
      </c>
      <c r="D22">
        <f>VLOOKUP(Bookings_Data!C22, Locations!A:C, 3, FALSE)</f>
      </c>
      <c r="E22">
        <f>Bookings_Data!F22</f>
      </c>
      <c r="F22">
        <f>Bookings_Data!I22</f>
      </c>
      <c r="G22">
        <f>Bookings_Data!N22</f>
      </c>
      <c r="H22">
        <f>Bookings_Data!O22</f>
      </c>
      <c r="I22">
        <f>IF(Bookings_Data!O22="COMPLETED", "Settled &amp; Verified", "Unsettled / Pending")</f>
      </c>
      <c r="J22">
        <f>IF(Bookings_Data!N22&gt;250, "Tier 1 (Premium / Surge)", IF(Bookings_Data!N22&gt;100, "Tier 2 (Standard)", "Tier 3 (Short-Stay)"))</f>
      </c>
      <c r="K22">
        <f>IF(AND(Bookings_Data!N22&gt;150, OR(Bookings_Data!F22="car", Bookings_Data!F22="ev")), "★ High-Yield Asset", "Standard Dwell")</f>
      </c>
      <c r="L22">
        <f>IFERROR(VLOOKUP(Bookings_Data!C22, Locations!A:C, 3, FALSE), "Location Not Found")</f>
      </c>
      <c r="M22">
        <f>IF(OR(Bookings_Data!I22&gt;24, Bookings_Data!N22&gt;1500), "🚨 STATISTICAL OUTLIER", "NORMAL")</f>
      </c>
    </row>
    <row r="23" spans="1:13" x14ac:dyDescent="0.25">
      <c r="A23" t="s">
        <v>2274</v>
      </c>
      <c r="B23">
        <f>Bookings_Data!A23</f>
      </c>
      <c r="C23">
        <f>XLOOKUP(Bookings_Data!B23, Customers!A:A, Customers!B:B, "Guest User")</f>
      </c>
      <c r="D23">
        <f>VLOOKUP(Bookings_Data!C23, Locations!A:C, 3, FALSE)</f>
      </c>
      <c r="E23">
        <f>Bookings_Data!F23</f>
      </c>
      <c r="F23">
        <f>Bookings_Data!I23</f>
      </c>
      <c r="G23">
        <f>Bookings_Data!N23</f>
      </c>
      <c r="H23">
        <f>Bookings_Data!O23</f>
      </c>
      <c r="I23">
        <f>IF(Bookings_Data!O23="COMPLETED", "Settled &amp; Verified", "Unsettled / Pending")</f>
      </c>
      <c r="J23">
        <f>IF(Bookings_Data!N23&gt;250, "Tier 1 (Premium / Surge)", IF(Bookings_Data!N23&gt;100, "Tier 2 (Standard)", "Tier 3 (Short-Stay)"))</f>
      </c>
      <c r="K23">
        <f>IF(AND(Bookings_Data!N23&gt;150, OR(Bookings_Data!F23="car", Bookings_Data!F23="ev")), "★ High-Yield Asset", "Standard Dwell")</f>
      </c>
      <c r="L23">
        <f>IFERROR(VLOOKUP(Bookings_Data!C23, Locations!A:C, 3, FALSE), "Location Not Found")</f>
      </c>
      <c r="M23">
        <f>IF(OR(Bookings_Data!I23&gt;24, Bookings_Data!N23&gt;1500), "🚨 STATISTICAL OUTLIER", "NORMAL")</f>
      </c>
    </row>
    <row r="24" spans="1:13" x14ac:dyDescent="0.25">
      <c r="A24" t="s">
        <v>2275</v>
      </c>
      <c r="B24">
        <f>Bookings_Data!A24</f>
      </c>
      <c r="C24">
        <f>XLOOKUP(Bookings_Data!B24, Customers!A:A, Customers!B:B, "Guest User")</f>
      </c>
      <c r="D24">
        <f>VLOOKUP(Bookings_Data!C24, Locations!A:C, 3, FALSE)</f>
      </c>
      <c r="E24">
        <f>Bookings_Data!F24</f>
      </c>
      <c r="F24">
        <f>Bookings_Data!I24</f>
      </c>
      <c r="G24">
        <f>Bookings_Data!N24</f>
      </c>
      <c r="H24">
        <f>Bookings_Data!O24</f>
      </c>
      <c r="I24">
        <f>IF(Bookings_Data!O24="COMPLETED", "Settled &amp; Verified", "Unsettled / Pending")</f>
      </c>
      <c r="J24">
        <f>IF(Bookings_Data!N24&gt;250, "Tier 1 (Premium / Surge)", IF(Bookings_Data!N24&gt;100, "Tier 2 (Standard)", "Tier 3 (Short-Stay)"))</f>
      </c>
      <c r="K24">
        <f>IF(AND(Bookings_Data!N24&gt;150, OR(Bookings_Data!F24="car", Bookings_Data!F24="ev")), "★ High-Yield Asset", "Standard Dwell")</f>
      </c>
      <c r="L24">
        <f>IFERROR(VLOOKUP(Bookings_Data!C24, Locations!A:C, 3, FALSE), "Location Not Found")</f>
      </c>
      <c r="M24">
        <f>IF(OR(Bookings_Data!I24&gt;24, Bookings_Data!N24&gt;1500), "🚨 STATISTICAL OUTLIER", "NORMAL")</f>
      </c>
    </row>
    <row r="25" spans="1:13" x14ac:dyDescent="0.25">
      <c r="A25" t="s">
        <v>2276</v>
      </c>
      <c r="B25">
        <f>Bookings_Data!A25</f>
      </c>
      <c r="C25">
        <f>XLOOKUP(Bookings_Data!B25, Customers!A:A, Customers!B:B, "Guest User")</f>
      </c>
      <c r="D25">
        <f>VLOOKUP(Bookings_Data!C25, Locations!A:C, 3, FALSE)</f>
      </c>
      <c r="E25">
        <f>Bookings_Data!F25</f>
      </c>
      <c r="F25">
        <f>Bookings_Data!I25</f>
      </c>
      <c r="G25">
        <f>Bookings_Data!N25</f>
      </c>
      <c r="H25">
        <f>Bookings_Data!O25</f>
      </c>
      <c r="I25">
        <f>IF(Bookings_Data!O25="COMPLETED", "Settled &amp; Verified", "Unsettled / Pending")</f>
      </c>
      <c r="J25">
        <f>IF(Bookings_Data!N25&gt;250, "Tier 1 (Premium / Surge)", IF(Bookings_Data!N25&gt;100, "Tier 2 (Standard)", "Tier 3 (Short-Stay)"))</f>
      </c>
      <c r="K25">
        <f>IF(AND(Bookings_Data!N25&gt;150, OR(Bookings_Data!F25="car", Bookings_Data!F25="ev")), "★ High-Yield Asset", "Standard Dwell")</f>
      </c>
      <c r="L25">
        <f>IFERROR(VLOOKUP(Bookings_Data!C25, Locations!A:C, 3, FALSE), "Location Not Found")</f>
      </c>
      <c r="M25">
        <f>IF(OR(Bookings_Data!I25&gt;24, Bookings_Data!N25&gt;1500), "🚨 STATISTICAL OUTLIER", "NORMAL")</f>
      </c>
    </row>
    <row r="26" spans="1:13" x14ac:dyDescent="0.25">
      <c r="A26" t="s">
        <v>2277</v>
      </c>
      <c r="B26">
        <f>Bookings_Data!A26</f>
      </c>
      <c r="C26">
        <f>XLOOKUP(Bookings_Data!B26, Customers!A:A, Customers!B:B, "Guest User")</f>
      </c>
      <c r="D26">
        <f>VLOOKUP(Bookings_Data!C26, Locations!A:C, 3, FALSE)</f>
      </c>
      <c r="E26">
        <f>Bookings_Data!F26</f>
      </c>
      <c r="F26">
        <f>Bookings_Data!I26</f>
      </c>
      <c r="G26">
        <f>Bookings_Data!N26</f>
      </c>
      <c r="H26">
        <f>Bookings_Data!O26</f>
      </c>
      <c r="I26">
        <f>IF(Bookings_Data!O26="COMPLETED", "Settled &amp; Verified", "Unsettled / Pending")</f>
      </c>
      <c r="J26">
        <f>IF(Bookings_Data!N26&gt;250, "Tier 1 (Premium / Surge)", IF(Bookings_Data!N26&gt;100, "Tier 2 (Standard)", "Tier 3 (Short-Stay)"))</f>
      </c>
      <c r="K26">
        <f>IF(AND(Bookings_Data!N26&gt;150, OR(Bookings_Data!F26="car", Bookings_Data!F26="ev")), "★ High-Yield Asset", "Standard Dwell")</f>
      </c>
      <c r="L26">
        <f>IFERROR(VLOOKUP(Bookings_Data!C26, Locations!A:C, 3, FALSE), "Location Not Found")</f>
      </c>
      <c r="M26">
        <f>IF(OR(Bookings_Data!I26&gt;24, Bookings_Data!N26&gt;1500), "🚨 STATISTICAL OUTLIER", "NORMAL")</f>
      </c>
    </row>
    <row r="27" spans="1:13" x14ac:dyDescent="0.25">
      <c r="A27" t="s">
        <v>2278</v>
      </c>
      <c r="B27">
        <f>Bookings_Data!A27</f>
      </c>
      <c r="C27">
        <f>XLOOKUP(Bookings_Data!B27, Customers!A:A, Customers!B:B, "Guest User")</f>
      </c>
      <c r="D27">
        <f>VLOOKUP(Bookings_Data!C27, Locations!A:C, 3, FALSE)</f>
      </c>
      <c r="E27">
        <f>Bookings_Data!F27</f>
      </c>
      <c r="F27">
        <f>Bookings_Data!I27</f>
      </c>
      <c r="G27">
        <f>Bookings_Data!N27</f>
      </c>
      <c r="H27">
        <f>Bookings_Data!O27</f>
      </c>
      <c r="I27">
        <f>IF(Bookings_Data!O27="COMPLETED", "Settled &amp; Verified", "Unsettled / Pending")</f>
      </c>
      <c r="J27">
        <f>IF(Bookings_Data!N27&gt;250, "Tier 1 (Premium / Surge)", IF(Bookings_Data!N27&gt;100, "Tier 2 (Standard)", "Tier 3 (Short-Stay)"))</f>
      </c>
      <c r="K27">
        <f>IF(AND(Bookings_Data!N27&gt;150, OR(Bookings_Data!F27="car", Bookings_Data!F27="ev")), "★ High-Yield Asset", "Standard Dwell")</f>
      </c>
      <c r="L27">
        <f>IFERROR(VLOOKUP(Bookings_Data!C27, Locations!A:C, 3, FALSE), "Location Not Found")</f>
      </c>
      <c r="M27">
        <f>IF(OR(Bookings_Data!I27&gt;24, Bookings_Data!N27&gt;1500), "🚨 STATISTICAL OUTLIER", "NORMAL")</f>
      </c>
    </row>
    <row r="28" spans="1:13" x14ac:dyDescent="0.25">
      <c r="A28" t="s">
        <v>2279</v>
      </c>
      <c r="B28">
        <f>Bookings_Data!A28</f>
      </c>
      <c r="C28">
        <f>XLOOKUP(Bookings_Data!B28, Customers!A:A, Customers!B:B, "Guest User")</f>
      </c>
      <c r="D28">
        <f>VLOOKUP(Bookings_Data!C28, Locations!A:C, 3, FALSE)</f>
      </c>
      <c r="E28">
        <f>Bookings_Data!F28</f>
      </c>
      <c r="F28">
        <f>Bookings_Data!I28</f>
      </c>
      <c r="G28">
        <f>Bookings_Data!N28</f>
      </c>
      <c r="H28">
        <f>Bookings_Data!O28</f>
      </c>
      <c r="I28">
        <f>IF(Bookings_Data!O28="COMPLETED", "Settled &amp; Verified", "Unsettled / Pending")</f>
      </c>
      <c r="J28">
        <f>IF(Bookings_Data!N28&gt;250, "Tier 1 (Premium / Surge)", IF(Bookings_Data!N28&gt;100, "Tier 2 (Standard)", "Tier 3 (Short-Stay)"))</f>
      </c>
      <c r="K28">
        <f>IF(AND(Bookings_Data!N28&gt;150, OR(Bookings_Data!F28="car", Bookings_Data!F28="ev")), "★ High-Yield Asset", "Standard Dwell")</f>
      </c>
      <c r="L28">
        <f>IFERROR(VLOOKUP(Bookings_Data!C28, Locations!A:C, 3, FALSE), "Location Not Found")</f>
      </c>
      <c r="M28">
        <f>IF(OR(Bookings_Data!I28&gt;24, Bookings_Data!N28&gt;1500), "🚨 STATISTICAL OUTLIER", "NORMAL")</f>
      </c>
    </row>
    <row r="29" spans="1:13" x14ac:dyDescent="0.25">
      <c r="A29" t="s">
        <v>2280</v>
      </c>
      <c r="B29">
        <f>Bookings_Data!A29</f>
      </c>
      <c r="C29">
        <f>XLOOKUP(Bookings_Data!B29, Customers!A:A, Customers!B:B, "Guest User")</f>
      </c>
      <c r="D29">
        <f>VLOOKUP(Bookings_Data!C29, Locations!A:C, 3, FALSE)</f>
      </c>
      <c r="E29">
        <f>Bookings_Data!F29</f>
      </c>
      <c r="F29">
        <f>Bookings_Data!I29</f>
      </c>
      <c r="G29">
        <f>Bookings_Data!N29</f>
      </c>
      <c r="H29">
        <f>Bookings_Data!O29</f>
      </c>
      <c r="I29">
        <f>IF(Bookings_Data!O29="COMPLETED", "Settled &amp; Verified", "Unsettled / Pending")</f>
      </c>
      <c r="J29">
        <f>IF(Bookings_Data!N29&gt;250, "Tier 1 (Premium / Surge)", IF(Bookings_Data!N29&gt;100, "Tier 2 (Standard)", "Tier 3 (Short-Stay)"))</f>
      </c>
      <c r="K29">
        <f>IF(AND(Bookings_Data!N29&gt;150, OR(Bookings_Data!F29="car", Bookings_Data!F29="ev")), "★ High-Yield Asset", "Standard Dwell")</f>
      </c>
      <c r="L29">
        <f>IFERROR(VLOOKUP(Bookings_Data!C29, Locations!A:C, 3, FALSE), "Location Not Found")</f>
      </c>
      <c r="M29">
        <f>IF(OR(Bookings_Data!I29&gt;24, Bookings_Data!N29&gt;1500), "🚨 STATISTICAL OUTLIER", "NORMAL")</f>
      </c>
    </row>
    <row r="30" spans="1:13" x14ac:dyDescent="0.25">
      <c r="A30" t="s">
        <v>2281</v>
      </c>
      <c r="B30">
        <f>Bookings_Data!A30</f>
      </c>
      <c r="C30">
        <f>XLOOKUP(Bookings_Data!B30, Customers!A:A, Customers!B:B, "Guest User")</f>
      </c>
      <c r="D30">
        <f>VLOOKUP(Bookings_Data!C30, Locations!A:C, 3, FALSE)</f>
      </c>
      <c r="E30">
        <f>Bookings_Data!F30</f>
      </c>
      <c r="F30">
        <f>Bookings_Data!I30</f>
      </c>
      <c r="G30">
        <f>Bookings_Data!N30</f>
      </c>
      <c r="H30">
        <f>Bookings_Data!O30</f>
      </c>
      <c r="I30">
        <f>IF(Bookings_Data!O30="COMPLETED", "Settled &amp; Verified", "Unsettled / Pending")</f>
      </c>
      <c r="J30">
        <f>IF(Bookings_Data!N30&gt;250, "Tier 1 (Premium / Surge)", IF(Bookings_Data!N30&gt;100, "Tier 2 (Standard)", "Tier 3 (Short-Stay)"))</f>
      </c>
      <c r="K30">
        <f>IF(AND(Bookings_Data!N30&gt;150, OR(Bookings_Data!F30="car", Bookings_Data!F30="ev")), "★ High-Yield Asset", "Standard Dwell")</f>
      </c>
      <c r="L30">
        <f>IFERROR(VLOOKUP(Bookings_Data!C30, Locations!A:C, 3, FALSE), "Location Not Found")</f>
      </c>
      <c r="M30">
        <f>IF(OR(Bookings_Data!I30&gt;24, Bookings_Data!N30&gt;1500), "🚨 STATISTICAL OUTLIER", "NORMAL")</f>
      </c>
    </row>
    <row r="31" spans="1:13" x14ac:dyDescent="0.25">
      <c r="A31" t="s">
        <v>2282</v>
      </c>
      <c r="B31">
        <f>Bookings_Data!A31</f>
      </c>
      <c r="C31">
        <f>XLOOKUP(Bookings_Data!B31, Customers!A:A, Customers!B:B, "Guest User")</f>
      </c>
      <c r="D31">
        <f>VLOOKUP(Bookings_Data!C31, Locations!A:C, 3, FALSE)</f>
      </c>
      <c r="E31">
        <f>Bookings_Data!F31</f>
      </c>
      <c r="F31">
        <f>Bookings_Data!I31</f>
      </c>
      <c r="G31">
        <f>Bookings_Data!N31</f>
      </c>
      <c r="H31">
        <f>Bookings_Data!O31</f>
      </c>
      <c r="I31">
        <f>IF(Bookings_Data!O31="COMPLETED", "Settled &amp; Verified", "Unsettled / Pending")</f>
      </c>
      <c r="J31">
        <f>IF(Bookings_Data!N31&gt;250, "Tier 1 (Premium / Surge)", IF(Bookings_Data!N31&gt;100, "Tier 2 (Standard)", "Tier 3 (Short-Stay)"))</f>
      </c>
      <c r="K31">
        <f>IF(AND(Bookings_Data!N31&gt;150, OR(Bookings_Data!F31="car", Bookings_Data!F31="ev")), "★ High-Yield Asset", "Standard Dwell")</f>
      </c>
      <c r="L31">
        <f>IFERROR(VLOOKUP(Bookings_Data!C31, Locations!A:C, 3, FALSE), "Location Not Found")</f>
      </c>
      <c r="M31">
        <f>IF(OR(Bookings_Data!I31&gt;24, Bookings_Data!N31&gt;1500), "🚨 STATISTICAL OUTLIER", "NORMAL")</f>
      </c>
    </row>
    <row r="32" spans="1:13" x14ac:dyDescent="0.25">
      <c r="A32" t="s">
        <v>2283</v>
      </c>
      <c r="B32">
        <f>Bookings_Data!A32</f>
      </c>
      <c r="C32">
        <f>XLOOKUP(Bookings_Data!B32, Customers!A:A, Customers!B:B, "Guest User")</f>
      </c>
      <c r="D32">
        <f>VLOOKUP(Bookings_Data!C32, Locations!A:C, 3, FALSE)</f>
      </c>
      <c r="E32">
        <f>Bookings_Data!F32</f>
      </c>
      <c r="F32">
        <f>Bookings_Data!I32</f>
      </c>
      <c r="G32">
        <f>Bookings_Data!N32</f>
      </c>
      <c r="H32">
        <f>Bookings_Data!O32</f>
      </c>
      <c r="I32">
        <f>IF(Bookings_Data!O32="COMPLETED", "Settled &amp; Verified", "Unsettled / Pending")</f>
      </c>
      <c r="J32">
        <f>IF(Bookings_Data!N32&gt;250, "Tier 1 (Premium / Surge)", IF(Bookings_Data!N32&gt;100, "Tier 2 (Standard)", "Tier 3 (Short-Stay)"))</f>
      </c>
      <c r="K32">
        <f>IF(AND(Bookings_Data!N32&gt;150, OR(Bookings_Data!F32="car", Bookings_Data!F32="ev")), "★ High-Yield Asset", "Standard Dwell")</f>
      </c>
      <c r="L32">
        <f>IFERROR(VLOOKUP(Bookings_Data!C32, Locations!A:C, 3, FALSE), "Location Not Found")</f>
      </c>
      <c r="M32">
        <f>IF(OR(Bookings_Data!I32&gt;24, Bookings_Data!N32&gt;1500), "🚨 STATISTICAL OUTLIER", "NORMAL")</f>
      </c>
    </row>
    <row r="33" spans="1:13" x14ac:dyDescent="0.25">
      <c r="A33" t="s">
        <v>2284</v>
      </c>
      <c r="B33">
        <f>Bookings_Data!A33</f>
      </c>
      <c r="C33">
        <f>XLOOKUP(Bookings_Data!B33, Customers!A:A, Customers!B:B, "Guest User")</f>
      </c>
      <c r="D33">
        <f>VLOOKUP(Bookings_Data!C33, Locations!A:C, 3, FALSE)</f>
      </c>
      <c r="E33">
        <f>Bookings_Data!F33</f>
      </c>
      <c r="F33">
        <f>Bookings_Data!I33</f>
      </c>
      <c r="G33">
        <f>Bookings_Data!N33</f>
      </c>
      <c r="H33">
        <f>Bookings_Data!O33</f>
      </c>
      <c r="I33">
        <f>IF(Bookings_Data!O33="COMPLETED", "Settled &amp; Verified", "Unsettled / Pending")</f>
      </c>
      <c r="J33">
        <f>IF(Bookings_Data!N33&gt;250, "Tier 1 (Premium / Surge)", IF(Bookings_Data!N33&gt;100, "Tier 2 (Standard)", "Tier 3 (Short-Stay)"))</f>
      </c>
      <c r="K33">
        <f>IF(AND(Bookings_Data!N33&gt;150, OR(Bookings_Data!F33="car", Bookings_Data!F33="ev")), "★ High-Yield Asset", "Standard Dwell")</f>
      </c>
      <c r="L33">
        <f>IFERROR(VLOOKUP(Bookings_Data!C33, Locations!A:C, 3, FALSE), "Location Not Found")</f>
      </c>
      <c r="M33">
        <f>IF(OR(Bookings_Data!I33&gt;24, Bookings_Data!N33&gt;1500), "🚨 STATISTICAL OUTLIER", "NORMAL")</f>
      </c>
    </row>
    <row r="34" spans="1:13" x14ac:dyDescent="0.25">
      <c r="A34" t="s">
        <v>2285</v>
      </c>
      <c r="B34">
        <f>Bookings_Data!A34</f>
      </c>
      <c r="C34">
        <f>XLOOKUP(Bookings_Data!B34, Customers!A:A, Customers!B:B, "Guest User")</f>
      </c>
      <c r="D34">
        <f>VLOOKUP(Bookings_Data!C34, Locations!A:C, 3, FALSE)</f>
      </c>
      <c r="E34">
        <f>Bookings_Data!F34</f>
      </c>
      <c r="F34">
        <f>Bookings_Data!I34</f>
      </c>
      <c r="G34">
        <f>Bookings_Data!N34</f>
      </c>
      <c r="H34">
        <f>Bookings_Data!O34</f>
      </c>
      <c r="I34">
        <f>IF(Bookings_Data!O34="COMPLETED", "Settled &amp; Verified", "Unsettled / Pending")</f>
      </c>
      <c r="J34">
        <f>IF(Bookings_Data!N34&gt;250, "Tier 1 (Premium / Surge)", IF(Bookings_Data!N34&gt;100, "Tier 2 (Standard)", "Tier 3 (Short-Stay)"))</f>
      </c>
      <c r="K34">
        <f>IF(AND(Bookings_Data!N34&gt;150, OR(Bookings_Data!F34="car", Bookings_Data!F34="ev")), "★ High-Yield Asset", "Standard Dwell")</f>
      </c>
      <c r="L34">
        <f>IFERROR(VLOOKUP(Bookings_Data!C34, Locations!A:C, 3, FALSE), "Location Not Found")</f>
      </c>
      <c r="M34">
        <f>IF(OR(Bookings_Data!I34&gt;24, Bookings_Data!N34&gt;1500), "🚨 STATISTICAL OUTLIER", "NORMAL")</f>
      </c>
    </row>
    <row r="35" spans="1:13" x14ac:dyDescent="0.25">
      <c r="A35" t="s">
        <v>2286</v>
      </c>
      <c r="B35">
        <f>Bookings_Data!A35</f>
      </c>
      <c r="C35">
        <f>XLOOKUP(Bookings_Data!B35, Customers!A:A, Customers!B:B, "Guest User")</f>
      </c>
      <c r="D35">
        <f>VLOOKUP(Bookings_Data!C35, Locations!A:C, 3, FALSE)</f>
      </c>
      <c r="E35">
        <f>Bookings_Data!F35</f>
      </c>
      <c r="F35">
        <f>Bookings_Data!I35</f>
      </c>
      <c r="G35">
        <f>Bookings_Data!N35</f>
      </c>
      <c r="H35">
        <f>Bookings_Data!O35</f>
      </c>
      <c r="I35">
        <f>IF(Bookings_Data!O35="COMPLETED", "Settled &amp; Verified", "Unsettled / Pending")</f>
      </c>
      <c r="J35">
        <f>IF(Bookings_Data!N35&gt;250, "Tier 1 (Premium / Surge)", IF(Bookings_Data!N35&gt;100, "Tier 2 (Standard)", "Tier 3 (Short-Stay)"))</f>
      </c>
      <c r="K35">
        <f>IF(AND(Bookings_Data!N35&gt;150, OR(Bookings_Data!F35="car", Bookings_Data!F35="ev")), "★ High-Yield Asset", "Standard Dwell")</f>
      </c>
      <c r="L35">
        <f>IFERROR(VLOOKUP(Bookings_Data!C35, Locations!A:C, 3, FALSE), "Location Not Found")</f>
      </c>
      <c r="M35">
        <f>IF(OR(Bookings_Data!I35&gt;24, Bookings_Data!N35&gt;1500), "🚨 STATISTICAL OUTLIER", "NORMAL")</f>
      </c>
    </row>
    <row r="36" spans="1:13" x14ac:dyDescent="0.25">
      <c r="A36" t="s">
        <v>2287</v>
      </c>
      <c r="B36">
        <f>Bookings_Data!A36</f>
      </c>
      <c r="C36">
        <f>XLOOKUP(Bookings_Data!B36, Customers!A:A, Customers!B:B, "Guest User")</f>
      </c>
      <c r="D36">
        <f>VLOOKUP(Bookings_Data!C36, Locations!A:C, 3, FALSE)</f>
      </c>
      <c r="E36">
        <f>Bookings_Data!F36</f>
      </c>
      <c r="F36">
        <f>Bookings_Data!I36</f>
      </c>
      <c r="G36">
        <f>Bookings_Data!N36</f>
      </c>
      <c r="H36">
        <f>Bookings_Data!O36</f>
      </c>
      <c r="I36">
        <f>IF(Bookings_Data!O36="COMPLETED", "Settled &amp; Verified", "Unsettled / Pending")</f>
      </c>
      <c r="J36">
        <f>IF(Bookings_Data!N36&gt;250, "Tier 1 (Premium / Surge)", IF(Bookings_Data!N36&gt;100, "Tier 2 (Standard)", "Tier 3 (Short-Stay)"))</f>
      </c>
      <c r="K36">
        <f>IF(AND(Bookings_Data!N36&gt;150, OR(Bookings_Data!F36="car", Bookings_Data!F36="ev")), "★ High-Yield Asset", "Standard Dwell")</f>
      </c>
      <c r="L36">
        <f>IFERROR(VLOOKUP(Bookings_Data!C36, Locations!A:C, 3, FALSE), "Location Not Found")</f>
      </c>
      <c r="M36">
        <f>IF(OR(Bookings_Data!I36&gt;24, Bookings_Data!N36&gt;1500), "🚨 STATISTICAL OUTLIER", "NORMAL")</f>
      </c>
    </row>
    <row r="37" spans="1:13" x14ac:dyDescent="0.25">
      <c r="A37" t="s">
        <v>2288</v>
      </c>
      <c r="B37">
        <f>Bookings_Data!A37</f>
      </c>
      <c r="C37">
        <f>XLOOKUP(Bookings_Data!B37, Customers!A:A, Customers!B:B, "Guest User")</f>
      </c>
      <c r="D37">
        <f>VLOOKUP(Bookings_Data!C37, Locations!A:C, 3, FALSE)</f>
      </c>
      <c r="E37">
        <f>Bookings_Data!F37</f>
      </c>
      <c r="F37">
        <f>Bookings_Data!I37</f>
      </c>
      <c r="G37">
        <f>Bookings_Data!N37</f>
      </c>
      <c r="H37">
        <f>Bookings_Data!O37</f>
      </c>
      <c r="I37">
        <f>IF(Bookings_Data!O37="COMPLETED", "Settled &amp; Verified", "Unsettled / Pending")</f>
      </c>
      <c r="J37">
        <f>IF(Bookings_Data!N37&gt;250, "Tier 1 (Premium / Surge)", IF(Bookings_Data!N37&gt;100, "Tier 2 (Standard)", "Tier 3 (Short-Stay)"))</f>
      </c>
      <c r="K37">
        <f>IF(AND(Bookings_Data!N37&gt;150, OR(Bookings_Data!F37="car", Bookings_Data!F37="ev")), "★ High-Yield Asset", "Standard Dwell")</f>
      </c>
      <c r="L37">
        <f>IFERROR(VLOOKUP(Bookings_Data!C37, Locations!A:C, 3, FALSE), "Location Not Found")</f>
      </c>
      <c r="M37">
        <f>IF(OR(Bookings_Data!I37&gt;24, Bookings_Data!N37&gt;1500), "🚨 STATISTICAL OUTLIER", "NORMAL")</f>
      </c>
    </row>
    <row r="38" spans="1:13" x14ac:dyDescent="0.25">
      <c r="A38" t="s">
        <v>2289</v>
      </c>
      <c r="B38">
        <f>Bookings_Data!A38</f>
      </c>
      <c r="C38">
        <f>XLOOKUP(Bookings_Data!B38, Customers!A:A, Customers!B:B, "Guest User")</f>
      </c>
      <c r="D38">
        <f>VLOOKUP(Bookings_Data!C38, Locations!A:C, 3, FALSE)</f>
      </c>
      <c r="E38">
        <f>Bookings_Data!F38</f>
      </c>
      <c r="F38">
        <f>Bookings_Data!I38</f>
      </c>
      <c r="G38">
        <f>Bookings_Data!N38</f>
      </c>
      <c r="H38">
        <f>Bookings_Data!O38</f>
      </c>
      <c r="I38">
        <f>IF(Bookings_Data!O38="COMPLETED", "Settled &amp; Verified", "Unsettled / Pending")</f>
      </c>
      <c r="J38">
        <f>IF(Bookings_Data!N38&gt;250, "Tier 1 (Premium / Surge)", IF(Bookings_Data!N38&gt;100, "Tier 2 (Standard)", "Tier 3 (Short-Stay)"))</f>
      </c>
      <c r="K38">
        <f>IF(AND(Bookings_Data!N38&gt;150, OR(Bookings_Data!F38="car", Bookings_Data!F38="ev")), "★ High-Yield Asset", "Standard Dwell")</f>
      </c>
      <c r="L38">
        <f>IFERROR(VLOOKUP(Bookings_Data!C38, Locations!A:C, 3, FALSE), "Location Not Found")</f>
      </c>
      <c r="M38">
        <f>IF(OR(Bookings_Data!I38&gt;24, Bookings_Data!N38&gt;1500), "🚨 STATISTICAL OUTLIER", "NORMAL")</f>
      </c>
    </row>
    <row r="39" spans="1:13" x14ac:dyDescent="0.25">
      <c r="A39" t="s">
        <v>2290</v>
      </c>
      <c r="B39">
        <f>Bookings_Data!A39</f>
      </c>
      <c r="C39">
        <f>XLOOKUP(Bookings_Data!B39, Customers!A:A, Customers!B:B, "Guest User")</f>
      </c>
      <c r="D39">
        <f>VLOOKUP(Bookings_Data!C39, Locations!A:C, 3, FALSE)</f>
      </c>
      <c r="E39">
        <f>Bookings_Data!F39</f>
      </c>
      <c r="F39">
        <f>Bookings_Data!I39</f>
      </c>
      <c r="G39">
        <f>Bookings_Data!N39</f>
      </c>
      <c r="H39">
        <f>Bookings_Data!O39</f>
      </c>
      <c r="I39">
        <f>IF(Bookings_Data!O39="COMPLETED", "Settled &amp; Verified", "Unsettled / Pending")</f>
      </c>
      <c r="J39">
        <f>IF(Bookings_Data!N39&gt;250, "Tier 1 (Premium / Surge)", IF(Bookings_Data!N39&gt;100, "Tier 2 (Standard)", "Tier 3 (Short-Stay)"))</f>
      </c>
      <c r="K39">
        <f>IF(AND(Bookings_Data!N39&gt;150, OR(Bookings_Data!F39="car", Bookings_Data!F39="ev")), "★ High-Yield Asset", "Standard Dwell")</f>
      </c>
      <c r="L39">
        <f>IFERROR(VLOOKUP(Bookings_Data!C39, Locations!A:C, 3, FALSE), "Location Not Found")</f>
      </c>
      <c r="M39">
        <f>IF(OR(Bookings_Data!I39&gt;24, Bookings_Data!N39&gt;1500), "🚨 STATISTICAL OUTLIER", "NORMAL")</f>
      </c>
    </row>
    <row r="40" spans="1:13" x14ac:dyDescent="0.25">
      <c r="A40" t="s">
        <v>2291</v>
      </c>
      <c r="B40">
        <f>Bookings_Data!A40</f>
      </c>
      <c r="C40">
        <f>XLOOKUP(Bookings_Data!B40, Customers!A:A, Customers!B:B, "Guest User")</f>
      </c>
      <c r="D40">
        <f>VLOOKUP(Bookings_Data!C40, Locations!A:C, 3, FALSE)</f>
      </c>
      <c r="E40">
        <f>Bookings_Data!F40</f>
      </c>
      <c r="F40">
        <f>Bookings_Data!I40</f>
      </c>
      <c r="G40">
        <f>Bookings_Data!N40</f>
      </c>
      <c r="H40">
        <f>Bookings_Data!O40</f>
      </c>
      <c r="I40">
        <f>IF(Bookings_Data!O40="COMPLETED", "Settled &amp; Verified", "Unsettled / Pending")</f>
      </c>
      <c r="J40">
        <f>IF(Bookings_Data!N40&gt;250, "Tier 1 (Premium / Surge)", IF(Bookings_Data!N40&gt;100, "Tier 2 (Standard)", "Tier 3 (Short-Stay)"))</f>
      </c>
      <c r="K40">
        <f>IF(AND(Bookings_Data!N40&gt;150, OR(Bookings_Data!F40="car", Bookings_Data!F40="ev")), "★ High-Yield Asset", "Standard Dwell")</f>
      </c>
      <c r="L40">
        <f>IFERROR(VLOOKUP(Bookings_Data!C40, Locations!A:C, 3, FALSE), "Location Not Found")</f>
      </c>
      <c r="M40">
        <f>IF(OR(Bookings_Data!I40&gt;24, Bookings_Data!N40&gt;1500), "🚨 STATISTICAL OUTLIER", "NORMAL")</f>
      </c>
    </row>
    <row r="41" spans="1:13" x14ac:dyDescent="0.25">
      <c r="A41" t="s">
        <v>2292</v>
      </c>
      <c r="B41">
        <f>Bookings_Data!A41</f>
      </c>
      <c r="C41">
        <f>XLOOKUP(Bookings_Data!B41, Customers!A:A, Customers!B:B, "Guest User")</f>
      </c>
      <c r="D41">
        <f>VLOOKUP(Bookings_Data!C41, Locations!A:C, 3, FALSE)</f>
      </c>
      <c r="E41">
        <f>Bookings_Data!F41</f>
      </c>
      <c r="F41">
        <f>Bookings_Data!I41</f>
      </c>
      <c r="G41">
        <f>Bookings_Data!N41</f>
      </c>
      <c r="H41">
        <f>Bookings_Data!O41</f>
      </c>
      <c r="I41">
        <f>IF(Bookings_Data!O41="COMPLETED", "Settled &amp; Verified", "Unsettled / Pending")</f>
      </c>
      <c r="J41">
        <f>IF(Bookings_Data!N41&gt;250, "Tier 1 (Premium / Surge)", IF(Bookings_Data!N41&gt;100, "Tier 2 (Standard)", "Tier 3 (Short-Stay)"))</f>
      </c>
      <c r="K41">
        <f>IF(AND(Bookings_Data!N41&gt;150, OR(Bookings_Data!F41="car", Bookings_Data!F41="ev")), "★ High-Yield Asset", "Standard Dwell")</f>
      </c>
      <c r="L41">
        <f>IFERROR(VLOOKUP(Bookings_Data!C41, Locations!A:C, 3, FALSE), "Location Not Found")</f>
      </c>
      <c r="M41">
        <f>IF(OR(Bookings_Data!I41&gt;24, Bookings_Data!N41&gt;1500), "🚨 STATISTICAL OUTLIER", "NORMAL")</f>
      </c>
    </row>
    <row r="42" spans="1:13" x14ac:dyDescent="0.25">
      <c r="A42" t="s">
        <v>2293</v>
      </c>
      <c r="B42">
        <f>Bookings_Data!A42</f>
      </c>
      <c r="C42">
        <f>XLOOKUP(Bookings_Data!B42, Customers!A:A, Customers!B:B, "Guest User")</f>
      </c>
      <c r="D42">
        <f>VLOOKUP(Bookings_Data!C42, Locations!A:C, 3, FALSE)</f>
      </c>
      <c r="E42">
        <f>Bookings_Data!F42</f>
      </c>
      <c r="F42">
        <f>Bookings_Data!I42</f>
      </c>
      <c r="G42">
        <f>Bookings_Data!N42</f>
      </c>
      <c r="H42">
        <f>Bookings_Data!O42</f>
      </c>
      <c r="I42">
        <f>IF(Bookings_Data!O42="COMPLETED", "Settled &amp; Verified", "Unsettled / Pending")</f>
      </c>
      <c r="J42">
        <f>IF(Bookings_Data!N42&gt;250, "Tier 1 (Premium / Surge)", IF(Bookings_Data!N42&gt;100, "Tier 2 (Standard)", "Tier 3 (Short-Stay)"))</f>
      </c>
      <c r="K42">
        <f>IF(AND(Bookings_Data!N42&gt;150, OR(Bookings_Data!F42="car", Bookings_Data!F42="ev")), "★ High-Yield Asset", "Standard Dwell")</f>
      </c>
      <c r="L42">
        <f>IFERROR(VLOOKUP(Bookings_Data!C42, Locations!A:C, 3, FALSE), "Location Not Found")</f>
      </c>
      <c r="M42">
        <f>IF(OR(Bookings_Data!I42&gt;24, Bookings_Data!N42&gt;1500), "🚨 STATISTICAL OUTLIER", "NORMAL")</f>
      </c>
    </row>
    <row r="43" spans="1:13" x14ac:dyDescent="0.25">
      <c r="A43" t="s">
        <v>2294</v>
      </c>
      <c r="B43">
        <f>Bookings_Data!A43</f>
      </c>
      <c r="C43">
        <f>XLOOKUP(Bookings_Data!B43, Customers!A:A, Customers!B:B, "Guest User")</f>
      </c>
      <c r="D43">
        <f>VLOOKUP(Bookings_Data!C43, Locations!A:C, 3, FALSE)</f>
      </c>
      <c r="E43">
        <f>Bookings_Data!F43</f>
      </c>
      <c r="F43">
        <f>Bookings_Data!I43</f>
      </c>
      <c r="G43">
        <f>Bookings_Data!N43</f>
      </c>
      <c r="H43">
        <f>Bookings_Data!O43</f>
      </c>
      <c r="I43">
        <f>IF(Bookings_Data!O43="COMPLETED", "Settled &amp; Verified", "Unsettled / Pending")</f>
      </c>
      <c r="J43">
        <f>IF(Bookings_Data!N43&gt;250, "Tier 1 (Premium / Surge)", IF(Bookings_Data!N43&gt;100, "Tier 2 (Standard)", "Tier 3 (Short-Stay)"))</f>
      </c>
      <c r="K43">
        <f>IF(AND(Bookings_Data!N43&gt;150, OR(Bookings_Data!F43="car", Bookings_Data!F43="ev")), "★ High-Yield Asset", "Standard Dwell")</f>
      </c>
      <c r="L43">
        <f>IFERROR(VLOOKUP(Bookings_Data!C43, Locations!A:C, 3, FALSE), "Location Not Found")</f>
      </c>
      <c r="M43">
        <f>IF(OR(Bookings_Data!I43&gt;24, Bookings_Data!N43&gt;1500), "🚨 STATISTICAL OUTLIER", "NORMAL")</f>
      </c>
    </row>
    <row r="44" spans="1:13" x14ac:dyDescent="0.25">
      <c r="A44" t="s">
        <v>2295</v>
      </c>
      <c r="B44">
        <f>Bookings_Data!A44</f>
      </c>
      <c r="C44">
        <f>XLOOKUP(Bookings_Data!B44, Customers!A:A, Customers!B:B, "Guest User")</f>
      </c>
      <c r="D44">
        <f>VLOOKUP(Bookings_Data!C44, Locations!A:C, 3, FALSE)</f>
      </c>
      <c r="E44">
        <f>Bookings_Data!F44</f>
      </c>
      <c r="F44">
        <f>Bookings_Data!I44</f>
      </c>
      <c r="G44">
        <f>Bookings_Data!N44</f>
      </c>
      <c r="H44">
        <f>Bookings_Data!O44</f>
      </c>
      <c r="I44">
        <f>IF(Bookings_Data!O44="COMPLETED", "Settled &amp; Verified", "Unsettled / Pending")</f>
      </c>
      <c r="J44">
        <f>IF(Bookings_Data!N44&gt;250, "Tier 1 (Premium / Surge)", IF(Bookings_Data!N44&gt;100, "Tier 2 (Standard)", "Tier 3 (Short-Stay)"))</f>
      </c>
      <c r="K44">
        <f>IF(AND(Bookings_Data!N44&gt;150, OR(Bookings_Data!F44="car", Bookings_Data!F44="ev")), "★ High-Yield Asset", "Standard Dwell")</f>
      </c>
      <c r="L44">
        <f>IFERROR(VLOOKUP(Bookings_Data!C44, Locations!A:C, 3, FALSE), "Location Not Found")</f>
      </c>
      <c r="M44">
        <f>IF(OR(Bookings_Data!I44&gt;24, Bookings_Data!N44&gt;1500), "🚨 STATISTICAL OUTLIER", "NORMAL")</f>
      </c>
    </row>
    <row r="45" spans="1:13" x14ac:dyDescent="0.25">
      <c r="A45" t="s">
        <v>2296</v>
      </c>
      <c r="B45">
        <f>Bookings_Data!A45</f>
      </c>
      <c r="C45">
        <f>XLOOKUP(Bookings_Data!B45, Customers!A:A, Customers!B:B, "Guest User")</f>
      </c>
      <c r="D45">
        <f>VLOOKUP(Bookings_Data!C45, Locations!A:C, 3, FALSE)</f>
      </c>
      <c r="E45">
        <f>Bookings_Data!F45</f>
      </c>
      <c r="F45">
        <f>Bookings_Data!I45</f>
      </c>
      <c r="G45">
        <f>Bookings_Data!N45</f>
      </c>
      <c r="H45">
        <f>Bookings_Data!O45</f>
      </c>
      <c r="I45">
        <f>IF(Bookings_Data!O45="COMPLETED", "Settled &amp; Verified", "Unsettled / Pending")</f>
      </c>
      <c r="J45">
        <f>IF(Bookings_Data!N45&gt;250, "Tier 1 (Premium / Surge)", IF(Bookings_Data!N45&gt;100, "Tier 2 (Standard)", "Tier 3 (Short-Stay)"))</f>
      </c>
      <c r="K45">
        <f>IF(AND(Bookings_Data!N45&gt;150, OR(Bookings_Data!F45="car", Bookings_Data!F45="ev")), "★ High-Yield Asset", "Standard Dwell")</f>
      </c>
      <c r="L45">
        <f>IFERROR(VLOOKUP(Bookings_Data!C45, Locations!A:C, 3, FALSE), "Location Not Found")</f>
      </c>
      <c r="M45">
        <f>IF(OR(Bookings_Data!I45&gt;24, Bookings_Data!N45&gt;1500), "🚨 STATISTICAL OUTLIER", "NORMAL")</f>
      </c>
    </row>
    <row r="46" spans="1:13" x14ac:dyDescent="0.25">
      <c r="A46" t="s">
        <v>2297</v>
      </c>
      <c r="B46">
        <f>Bookings_Data!A46</f>
      </c>
      <c r="C46">
        <f>XLOOKUP(Bookings_Data!B46, Customers!A:A, Customers!B:B, "Guest User")</f>
      </c>
      <c r="D46">
        <f>VLOOKUP(Bookings_Data!C46, Locations!A:C, 3, FALSE)</f>
      </c>
      <c r="E46">
        <f>Bookings_Data!F46</f>
      </c>
      <c r="F46">
        <f>Bookings_Data!I46</f>
      </c>
      <c r="G46">
        <f>Bookings_Data!N46</f>
      </c>
      <c r="H46">
        <f>Bookings_Data!O46</f>
      </c>
      <c r="I46">
        <f>IF(Bookings_Data!O46="COMPLETED", "Settled &amp; Verified", "Unsettled / Pending")</f>
      </c>
      <c r="J46">
        <f>IF(Bookings_Data!N46&gt;250, "Tier 1 (Premium / Surge)", IF(Bookings_Data!N46&gt;100, "Tier 2 (Standard)", "Tier 3 (Short-Stay)"))</f>
      </c>
      <c r="K46">
        <f>IF(AND(Bookings_Data!N46&gt;150, OR(Bookings_Data!F46="car", Bookings_Data!F46="ev")), "★ High-Yield Asset", "Standard Dwell")</f>
      </c>
      <c r="L46">
        <f>IFERROR(VLOOKUP(Bookings_Data!C46, Locations!A:C, 3, FALSE), "Location Not Found")</f>
      </c>
      <c r="M46">
        <f>IF(OR(Bookings_Data!I46&gt;24, Bookings_Data!N46&gt;1500), "🚨 STATISTICAL OUTLIER", "NORMAL")</f>
      </c>
    </row>
    <row r="47" spans="1:13" x14ac:dyDescent="0.25">
      <c r="A47" t="s">
        <v>2298</v>
      </c>
      <c r="B47">
        <f>Bookings_Data!A47</f>
      </c>
      <c r="C47">
        <f>XLOOKUP(Bookings_Data!B47, Customers!A:A, Customers!B:B, "Guest User")</f>
      </c>
      <c r="D47">
        <f>VLOOKUP(Bookings_Data!C47, Locations!A:C, 3, FALSE)</f>
      </c>
      <c r="E47">
        <f>Bookings_Data!F47</f>
      </c>
      <c r="F47">
        <f>Bookings_Data!I47</f>
      </c>
      <c r="G47">
        <f>Bookings_Data!N47</f>
      </c>
      <c r="H47">
        <f>Bookings_Data!O47</f>
      </c>
      <c r="I47">
        <f>IF(Bookings_Data!O47="COMPLETED", "Settled &amp; Verified", "Unsettled / Pending")</f>
      </c>
      <c r="J47">
        <f>IF(Bookings_Data!N47&gt;250, "Tier 1 (Premium / Surge)", IF(Bookings_Data!N47&gt;100, "Tier 2 (Standard)", "Tier 3 (Short-Stay)"))</f>
      </c>
      <c r="K47">
        <f>IF(AND(Bookings_Data!N47&gt;150, OR(Bookings_Data!F47="car", Bookings_Data!F47="ev")), "★ High-Yield Asset", "Standard Dwell")</f>
      </c>
      <c r="L47">
        <f>IFERROR(VLOOKUP(Bookings_Data!C47, Locations!A:C, 3, FALSE), "Location Not Found")</f>
      </c>
      <c r="M47">
        <f>IF(OR(Bookings_Data!I47&gt;24, Bookings_Data!N47&gt;1500), "🚨 STATISTICAL OUTLIER", "NORMAL")</f>
      </c>
    </row>
    <row r="48" spans="1:13" x14ac:dyDescent="0.25">
      <c r="A48" t="s">
        <v>2299</v>
      </c>
      <c r="B48">
        <f>Bookings_Data!A48</f>
      </c>
      <c r="C48">
        <f>XLOOKUP(Bookings_Data!B48, Customers!A:A, Customers!B:B, "Guest User")</f>
      </c>
      <c r="D48">
        <f>VLOOKUP(Bookings_Data!C48, Locations!A:C, 3, FALSE)</f>
      </c>
      <c r="E48">
        <f>Bookings_Data!F48</f>
      </c>
      <c r="F48">
        <f>Bookings_Data!I48</f>
      </c>
      <c r="G48">
        <f>Bookings_Data!N48</f>
      </c>
      <c r="H48">
        <f>Bookings_Data!O48</f>
      </c>
      <c r="I48">
        <f>IF(Bookings_Data!O48="COMPLETED", "Settled &amp; Verified", "Unsettled / Pending")</f>
      </c>
      <c r="J48">
        <f>IF(Bookings_Data!N48&gt;250, "Tier 1 (Premium / Surge)", IF(Bookings_Data!N48&gt;100, "Tier 2 (Standard)", "Tier 3 (Short-Stay)"))</f>
      </c>
      <c r="K48">
        <f>IF(AND(Bookings_Data!N48&gt;150, OR(Bookings_Data!F48="car", Bookings_Data!F48="ev")), "★ High-Yield Asset", "Standard Dwell")</f>
      </c>
      <c r="L48">
        <f>IFERROR(VLOOKUP(Bookings_Data!C48, Locations!A:C, 3, FALSE), "Location Not Found")</f>
      </c>
      <c r="M48">
        <f>IF(OR(Bookings_Data!I48&gt;24, Bookings_Data!N48&gt;1500), "🚨 STATISTICAL OUTLIER", "NORMAL")</f>
      </c>
    </row>
    <row r="49" spans="1:13" x14ac:dyDescent="0.25">
      <c r="A49" t="s">
        <v>2300</v>
      </c>
      <c r="B49">
        <f>Bookings_Data!A49</f>
      </c>
      <c r="C49">
        <f>XLOOKUP(Bookings_Data!B49, Customers!A:A, Customers!B:B, "Guest User")</f>
      </c>
      <c r="D49">
        <f>VLOOKUP(Bookings_Data!C49, Locations!A:C, 3, FALSE)</f>
      </c>
      <c r="E49">
        <f>Bookings_Data!F49</f>
      </c>
      <c r="F49">
        <f>Bookings_Data!I49</f>
      </c>
      <c r="G49">
        <f>Bookings_Data!N49</f>
      </c>
      <c r="H49">
        <f>Bookings_Data!O49</f>
      </c>
      <c r="I49">
        <f>IF(Bookings_Data!O49="COMPLETED", "Settled &amp; Verified", "Unsettled / Pending")</f>
      </c>
      <c r="J49">
        <f>IF(Bookings_Data!N49&gt;250, "Tier 1 (Premium / Surge)", IF(Bookings_Data!N49&gt;100, "Tier 2 (Standard)", "Tier 3 (Short-Stay)"))</f>
      </c>
      <c r="K49">
        <f>IF(AND(Bookings_Data!N49&gt;150, OR(Bookings_Data!F49="car", Bookings_Data!F49="ev")), "★ High-Yield Asset", "Standard Dwell")</f>
      </c>
      <c r="L49">
        <f>IFERROR(VLOOKUP(Bookings_Data!C49, Locations!A:C, 3, FALSE), "Location Not Found")</f>
      </c>
      <c r="M49">
        <f>IF(OR(Bookings_Data!I49&gt;24, Bookings_Data!N49&gt;1500), "🚨 STATISTICAL OUTLIER", "NORMAL")</f>
      </c>
    </row>
    <row r="50" spans="1:13" x14ac:dyDescent="0.25">
      <c r="A50" t="s">
        <v>2301</v>
      </c>
      <c r="B50">
        <f>Bookings_Data!A50</f>
      </c>
      <c r="C50">
        <f>XLOOKUP(Bookings_Data!B50, Customers!A:A, Customers!B:B, "Guest User")</f>
      </c>
      <c r="D50">
        <f>VLOOKUP(Bookings_Data!C50, Locations!A:C, 3, FALSE)</f>
      </c>
      <c r="E50">
        <f>Bookings_Data!F50</f>
      </c>
      <c r="F50">
        <f>Bookings_Data!I50</f>
      </c>
      <c r="G50">
        <f>Bookings_Data!N50</f>
      </c>
      <c r="H50">
        <f>Bookings_Data!O50</f>
      </c>
      <c r="I50">
        <f>IF(Bookings_Data!O50="COMPLETED", "Settled &amp; Verified", "Unsettled / Pending")</f>
      </c>
      <c r="J50">
        <f>IF(Bookings_Data!N50&gt;250, "Tier 1 (Premium / Surge)", IF(Bookings_Data!N50&gt;100, "Tier 2 (Standard)", "Tier 3 (Short-Stay)"))</f>
      </c>
      <c r="K50">
        <f>IF(AND(Bookings_Data!N50&gt;150, OR(Bookings_Data!F50="car", Bookings_Data!F50="ev")), "★ High-Yield Asset", "Standard Dwell")</f>
      </c>
      <c r="L50">
        <f>IFERROR(VLOOKUP(Bookings_Data!C50, Locations!A:C, 3, FALSE), "Location Not Found")</f>
      </c>
      <c r="M50">
        <f>IF(OR(Bookings_Data!I50&gt;24, Bookings_Data!N50&gt;1500), "🚨 STATISTICAL OUTLIER", "NORMAL")</f>
      </c>
    </row>
    <row r="51" spans="1:13" x14ac:dyDescent="0.25">
      <c r="A51" t="s">
        <v>2302</v>
      </c>
      <c r="B51">
        <f>Bookings_Data!A51</f>
      </c>
      <c r="C51">
        <f>XLOOKUP(Bookings_Data!B51, Customers!A:A, Customers!B:B, "Guest User")</f>
      </c>
      <c r="D51">
        <f>VLOOKUP(Bookings_Data!C51, Locations!A:C, 3, FALSE)</f>
      </c>
      <c r="E51">
        <f>Bookings_Data!F51</f>
      </c>
      <c r="F51">
        <f>Bookings_Data!I51</f>
      </c>
      <c r="G51">
        <f>Bookings_Data!N51</f>
      </c>
      <c r="H51">
        <f>Bookings_Data!O51</f>
      </c>
      <c r="I51">
        <f>IF(Bookings_Data!O51="COMPLETED", "Settled &amp; Verified", "Unsettled / Pending")</f>
      </c>
      <c r="J51">
        <f>IF(Bookings_Data!N51&gt;250, "Tier 1 (Premium / Surge)", IF(Bookings_Data!N51&gt;100, "Tier 2 (Standard)", "Tier 3 (Short-Stay)"))</f>
      </c>
      <c r="K51">
        <f>IF(AND(Bookings_Data!N51&gt;150, OR(Bookings_Data!F51="car", Bookings_Data!F51="ev")), "★ High-Yield Asset", "Standard Dwell")</f>
      </c>
      <c r="L51">
        <f>IFERROR(VLOOKUP(Bookings_Data!C51, Locations!A:C, 3, FALSE), "Location Not Found")</f>
      </c>
      <c r="M51">
        <f>IF(OR(Bookings_Data!I51&gt;24, Bookings_Data!N51&gt;1500), "🚨 STATISTICAL OUTLIER", "NORMAL")</f>
      </c>
    </row>
    <row r="52" spans="1:13" x14ac:dyDescent="0.25">
      <c r="A52" t="s">
        <v>2303</v>
      </c>
      <c r="B52">
        <f>Bookings_Data!A52</f>
      </c>
      <c r="C52">
        <f>XLOOKUP(Bookings_Data!B52, Customers!A:A, Customers!B:B, "Guest User")</f>
      </c>
      <c r="D52">
        <f>VLOOKUP(Bookings_Data!C52, Locations!A:C, 3, FALSE)</f>
      </c>
      <c r="E52">
        <f>Bookings_Data!F52</f>
      </c>
      <c r="F52">
        <f>Bookings_Data!I52</f>
      </c>
      <c r="G52">
        <f>Bookings_Data!N52</f>
      </c>
      <c r="H52">
        <f>Bookings_Data!O52</f>
      </c>
      <c r="I52">
        <f>IF(Bookings_Data!O52="COMPLETED", "Settled &amp; Verified", "Unsettled / Pending")</f>
      </c>
      <c r="J52">
        <f>IF(Bookings_Data!N52&gt;250, "Tier 1 (Premium / Surge)", IF(Bookings_Data!N52&gt;100, "Tier 2 (Standard)", "Tier 3 (Short-Stay)"))</f>
      </c>
      <c r="K52">
        <f>IF(AND(Bookings_Data!N52&gt;150, OR(Bookings_Data!F52="car", Bookings_Data!F52="ev")), "★ High-Yield Asset", "Standard Dwell")</f>
      </c>
      <c r="L52">
        <f>IFERROR(VLOOKUP(Bookings_Data!C52, Locations!A:C, 3, FALSE), "Location Not Found")</f>
      </c>
      <c r="M52">
        <f>IF(OR(Bookings_Data!I52&gt;24, Bookings_Data!N52&gt;1500), "🚨 STATISTICAL OUTLIER", "NORMAL")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30" customWidth="1"/>
    <col min="2" max="2" width="42" customWidth="1"/>
    <col min="3" max="3" width="45" customWidth="1"/>
    <col min="4" max="4" width="22" customWidth="1"/>
  </cols>
  <sheetData>
    <row r="1" ht="28" customHeight="1" spans="1:4" x14ac:dyDescent="0.25">
      <c r="A1" s="1" t="s">
        <v>2304</v>
      </c>
      <c r="B1" s="1" t="s">
        <v>2305</v>
      </c>
      <c r="C1" s="1" t="s">
        <v>2306</v>
      </c>
      <c r="D1" s="1" t="s">
        <v>2307</v>
      </c>
    </row>
    <row r="2" spans="1:4" x14ac:dyDescent="0.25">
      <c r="A2" t="s">
        <v>2308</v>
      </c>
      <c r="B2" t="s">
        <v>2309</v>
      </c>
      <c r="C2" t="s">
        <v>2310</v>
      </c>
      <c r="D2">
        <f>COUNTIF(Bookings_Data!O:O, "COMPLETED")</f>
      </c>
    </row>
    <row r="3" spans="1:4" x14ac:dyDescent="0.25">
      <c r="A3" t="s">
        <v>2308</v>
      </c>
      <c r="B3" t="s">
        <v>2311</v>
      </c>
      <c r="C3" t="s">
        <v>2312</v>
      </c>
      <c r="D3">
        <f>COUNTIF(Bookings_Data!O:O, "CANCELLED")</f>
      </c>
    </row>
    <row r="4" spans="1:4" x14ac:dyDescent="0.25">
      <c r="A4" t="s">
        <v>2313</v>
      </c>
      <c r="B4" t="s">
        <v>2314</v>
      </c>
      <c r="C4" t="s">
        <v>2315</v>
      </c>
      <c r="D4">
        <f>COUNTIFS(Bookings_Data!F:F, "car", Bookings_Data!O:O, "CANCELLED")</f>
      </c>
    </row>
    <row r="5" spans="1:4" x14ac:dyDescent="0.25">
      <c r="A5" t="s">
        <v>2316</v>
      </c>
      <c r="B5" t="s">
        <v>2317</v>
      </c>
      <c r="C5" t="s">
        <v>2318</v>
      </c>
      <c r="D5">
        <f>SUMIF(Bookings_Data!F:F, "ev", Bookings_Data!N:N)</f>
      </c>
    </row>
    <row r="6" spans="1:4" x14ac:dyDescent="0.25">
      <c r="A6" t="s">
        <v>2319</v>
      </c>
      <c r="B6" t="s">
        <v>2320</v>
      </c>
      <c r="C6" t="s">
        <v>2321</v>
      </c>
      <c r="D6">
        <f>SUMIFS(Bookings_Data!N:N, Bookings_Data!F:F, "car", Bookings_Data!O:O, "COMPLETED")</f>
      </c>
    </row>
    <row r="7" spans="1:4" x14ac:dyDescent="0.25">
      <c r="A7" t="s">
        <v>2322</v>
      </c>
      <c r="B7" t="s">
        <v>2323</v>
      </c>
      <c r="C7" t="s">
        <v>2324</v>
      </c>
      <c r="D7">
        <f>AVERAGEIF(Bookings_Data!F:F, "bike", Bookings_Data!N:N)</f>
      </c>
    </row>
    <row r="8" spans="1:4" x14ac:dyDescent="0.25">
      <c r="A8" t="s">
        <v>2325</v>
      </c>
      <c r="B8" t="s">
        <v>2326</v>
      </c>
      <c r="C8" t="s">
        <v>2327</v>
      </c>
      <c r="D8">
        <f>AVERAGEIFS(Bookings_Data!N:N, Bookings_Data!F:F, "car", Bookings_Data!O:O, "COMPLETED")</f>
      </c>
    </row>
    <row r="9" spans="1:4" x14ac:dyDescent="0.25">
      <c r="A9" t="s">
        <v>2328</v>
      </c>
      <c r="B9" t="s">
        <v>2329</v>
      </c>
      <c r="C9" t="s">
        <v>2330</v>
      </c>
      <c r="D9">
        <f>AVERAGE(Bookings_Data!I2:I501)</f>
      </c>
    </row>
    <row r="10" spans="1:4" x14ac:dyDescent="0.25">
      <c r="A10" t="s">
        <v>2331</v>
      </c>
      <c r="B10" t="s">
        <v>2332</v>
      </c>
      <c r="C10" t="s">
        <v>2333</v>
      </c>
      <c r="D10">
        <f>MEDIAN(Bookings_Data!I2:I501)</f>
      </c>
    </row>
    <row r="11" spans="1:4" x14ac:dyDescent="0.25">
      <c r="A11" t="s">
        <v>2334</v>
      </c>
      <c r="B11" t="s">
        <v>2335</v>
      </c>
      <c r="C11" t="s">
        <v>2336</v>
      </c>
      <c r="D11">
        <f>MODE.SNGL(Bookings_Data!I2:I501)</f>
      </c>
    </row>
    <row r="12" spans="1:4" x14ac:dyDescent="0.25">
      <c r="A12" t="s">
        <v>2328</v>
      </c>
      <c r="B12" t="s">
        <v>2337</v>
      </c>
      <c r="C12" t="s">
        <v>2338</v>
      </c>
      <c r="D12">
        <f>AVERAGE(Bookings_Data!N2:N501)</f>
      </c>
    </row>
    <row r="13" spans="1:4" x14ac:dyDescent="0.25">
      <c r="A13" t="s">
        <v>2331</v>
      </c>
      <c r="B13" t="s">
        <v>2339</v>
      </c>
      <c r="C13" t="s">
        <v>2340</v>
      </c>
      <c r="D13">
        <f>MEDIAN(Bookings_Data!N2:N501)</f>
      </c>
    </row>
    <row r="14" spans="1:4" x14ac:dyDescent="0.25">
      <c r="A14" t="s">
        <v>2341</v>
      </c>
      <c r="B14" t="s">
        <v>2342</v>
      </c>
      <c r="C14" t="s">
        <v>2343</v>
      </c>
      <c r="D14">
        <f>STDEV.S(Bookings_Data!N2:N501)</f>
      </c>
    </row>
    <row r="15" spans="1:4" x14ac:dyDescent="0.25">
      <c r="A15" t="s">
        <v>2344</v>
      </c>
      <c r="B15" t="s">
        <v>2345</v>
      </c>
      <c r="C15" t="s">
        <v>2346</v>
      </c>
      <c r="D15">
        <f>QUARTILE.INC(Bookings_Data!I2:I501, 1)</f>
      </c>
    </row>
    <row r="16" spans="1:4" x14ac:dyDescent="0.25">
      <c r="A16" t="s">
        <v>2344</v>
      </c>
      <c r="B16" t="s">
        <v>2347</v>
      </c>
      <c r="C16" t="s">
        <v>2348</v>
      </c>
      <c r="D16">
        <f>QUARTILE.INC(Bookings_Data!I2:I501, 3)</f>
      </c>
    </row>
    <row r="17" spans="1:4" x14ac:dyDescent="0.25">
      <c r="A17" t="s">
        <v>2344</v>
      </c>
      <c r="B17" t="s">
        <v>2349</v>
      </c>
      <c r="C17" t="s">
        <v>2350</v>
      </c>
      <c r="D17">
        <f>D16-D15</f>
      </c>
    </row>
    <row r="18" spans="1:4" x14ac:dyDescent="0.25">
      <c r="A18" t="s">
        <v>2344</v>
      </c>
      <c r="B18" t="s">
        <v>2351</v>
      </c>
      <c r="C18" t="s">
        <v>2352</v>
      </c>
      <c r="D18">
        <f>D16+(1.5*D17)</f>
      </c>
    </row>
    <row r="19" spans="1:4" x14ac:dyDescent="0.25">
      <c r="A19" t="s">
        <v>2353</v>
      </c>
      <c r="B19" t="s">
        <v>2354</v>
      </c>
      <c r="C19" t="s">
        <v>2355</v>
      </c>
      <c r="D19">
        <f>COUNTIF(Formula_Practicals!M:M, "*OUTLIER*")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2" width="35" customWidth="1"/>
    <col min="3" max="3" width="28" customWidth="1"/>
    <col min="4" max="4" width="24" customWidth="1"/>
    <col min="5" max="5" width="32" customWidth="1"/>
    <col min="6" max="6" width="28" customWidth="1"/>
  </cols>
  <sheetData>
    <row r="1" ht="28" customHeight="1" spans="1:6" x14ac:dyDescent="0.25">
      <c r="A1" s="1" t="s">
        <v>2356</v>
      </c>
      <c r="B1" s="1" t="s">
        <v>2357</v>
      </c>
      <c r="C1" s="1" t="s">
        <v>2358</v>
      </c>
      <c r="D1" s="1" t="s">
        <v>2359</v>
      </c>
      <c r="E1" s="1" t="s">
        <v>2360</v>
      </c>
      <c r="F1" s="1" t="s">
        <v>2361</v>
      </c>
    </row>
    <row r="2" spans="1:6" x14ac:dyDescent="0.25">
      <c r="A2" t="s">
        <v>2362</v>
      </c>
      <c r="B2" t="s">
        <v>2363</v>
      </c>
      <c r="C2" t="s">
        <v>2364</v>
      </c>
      <c r="D2" t="s">
        <v>5</v>
      </c>
      <c r="E2" t="s">
        <v>2365</v>
      </c>
      <c r="F2" t="s">
        <v>2366</v>
      </c>
    </row>
    <row r="3" spans="1:6" x14ac:dyDescent="0.25">
      <c r="A3" t="s">
        <v>2367</v>
      </c>
      <c r="B3" t="s">
        <v>2368</v>
      </c>
      <c r="C3" t="s">
        <v>2369</v>
      </c>
      <c r="D3" t="s">
        <v>2370</v>
      </c>
      <c r="E3" t="s">
        <v>2371</v>
      </c>
      <c r="F3" t="s">
        <v>2</v>
      </c>
    </row>
    <row r="4" spans="1:6" x14ac:dyDescent="0.25">
      <c r="A4" t="s">
        <v>2372</v>
      </c>
      <c r="B4" t="s">
        <v>2373</v>
      </c>
      <c r="C4" t="s">
        <v>2</v>
      </c>
      <c r="D4" t="s">
        <v>14</v>
      </c>
      <c r="E4" t="s">
        <v>2374</v>
      </c>
      <c r="F4" t="s">
        <v>5</v>
      </c>
    </row>
    <row r="5" spans="1:6" x14ac:dyDescent="0.25">
      <c r="A5" t="s">
        <v>2375</v>
      </c>
      <c r="B5" t="s">
        <v>2376</v>
      </c>
      <c r="C5" t="s">
        <v>5</v>
      </c>
      <c r="D5" t="s">
        <v>10</v>
      </c>
      <c r="E5" t="s">
        <v>2377</v>
      </c>
      <c r="F5" t="s">
        <v>2378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Bookings_Data</vt:lpstr>
      <vt:lpstr>Customers</vt:lpstr>
      <vt:lpstr>Locations</vt:lpstr>
      <vt:lpstr>Formula_Practicals</vt:lpstr>
      <vt:lpstr>Summary_KPIs_Formulas</vt:lpstr>
      <vt:lpstr>Pivot_Guide_&amp;_Scenarios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ParkPulse BI Platform</dc:creator>
  <dc:title/>
  <dc:subject/>
  <dc:description/>
  <cp:keywords/>
  <cp:category/>
  <cp:lastModifiedBy>Data Analytics Student</cp:lastModifiedBy>
  <dcterms:created xsi:type="dcterms:W3CDTF">2026-10-30T16:26:07Z</dcterms:created>
  <dcterms:modified xsi:type="dcterms:W3CDTF">2026-10-30T16:26:07Z</dcterms:modified>
</cp:coreProperties>
</file>